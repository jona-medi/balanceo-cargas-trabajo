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medina\PyCharmMiscProject\data\"/>
    </mc:Choice>
  </mc:AlternateContent>
  <xr:revisionPtr revIDLastSave="0" documentId="13_ncr:1_{394C6DC2-687F-4E25-83F0-6971B4583AFC}" xr6:coauthVersionLast="47" xr6:coauthVersionMax="47" xr10:uidLastSave="{00000000-0000-0000-0000-000000000000}"/>
  <bookViews>
    <workbookView xWindow="-108" yWindow="-108" windowWidth="23256" windowHeight="13896" activeTab="2" xr2:uid="{00000000-000D-0000-FFFF-FFFF00000000}"/>
  </bookViews>
  <sheets>
    <sheet name="MUESTREO" sheetId="1" r:id="rId1"/>
    <sheet name="Hoja1" sheetId="2" r:id="rId2"/>
    <sheet name="Lista Maestra" sheetId="3" r:id="rId3"/>
    <sheet name="CONTENIDO DE TRABAJO" sheetId="4" r:id="rId4"/>
  </sheets>
  <definedNames>
    <definedName name="_xlnm._FilterDatabase" localSheetId="2" hidden="1">'Lista Maestra'!$C$5:$H$209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8" i="1" l="1"/>
  <c r="K328" i="1"/>
  <c r="J328" i="1"/>
  <c r="P327" i="1"/>
  <c r="K327" i="1"/>
  <c r="J327" i="1"/>
  <c r="P326" i="1"/>
  <c r="K326" i="1"/>
  <c r="J326" i="1"/>
  <c r="P325" i="1"/>
  <c r="K325" i="1"/>
  <c r="J325" i="1"/>
  <c r="P324" i="1"/>
  <c r="K324" i="1"/>
  <c r="J324" i="1"/>
  <c r="P323" i="1"/>
  <c r="K323" i="1"/>
  <c r="J323" i="1"/>
  <c r="P322" i="1"/>
  <c r="K322" i="1"/>
  <c r="J322" i="1"/>
  <c r="P321" i="1"/>
  <c r="K321" i="1"/>
  <c r="J321" i="1"/>
  <c r="P320" i="1"/>
  <c r="K320" i="1"/>
  <c r="J320" i="1"/>
  <c r="P319" i="1"/>
  <c r="K319" i="1"/>
  <c r="J319" i="1"/>
  <c r="P318" i="1"/>
  <c r="K318" i="1"/>
  <c r="J318" i="1"/>
  <c r="P317" i="1"/>
  <c r="K317" i="1"/>
  <c r="J317" i="1"/>
  <c r="P316" i="1"/>
  <c r="K316" i="1"/>
  <c r="J316" i="1"/>
  <c r="P315" i="1"/>
  <c r="K315" i="1"/>
  <c r="J315" i="1"/>
  <c r="P314" i="1"/>
  <c r="K314" i="1"/>
  <c r="J314" i="1"/>
  <c r="P313" i="1"/>
  <c r="K313" i="1"/>
  <c r="J313" i="1"/>
  <c r="P312" i="1"/>
  <c r="K312" i="1"/>
  <c r="J312" i="1"/>
  <c r="P311" i="1"/>
  <c r="K311" i="1"/>
  <c r="J311" i="1"/>
  <c r="P310" i="1"/>
  <c r="K310" i="1"/>
  <c r="J310" i="1"/>
  <c r="P309" i="1"/>
  <c r="K309" i="1"/>
  <c r="J309" i="1"/>
  <c r="P308" i="1"/>
  <c r="K308" i="1"/>
  <c r="J308" i="1"/>
  <c r="P307" i="1"/>
  <c r="K307" i="1"/>
  <c r="J307" i="1"/>
  <c r="P306" i="1"/>
  <c r="K306" i="1"/>
  <c r="J306" i="1"/>
  <c r="P305" i="1"/>
  <c r="K305" i="1"/>
  <c r="J305" i="1"/>
  <c r="P304" i="1"/>
  <c r="K304" i="1"/>
  <c r="J304" i="1"/>
  <c r="P303" i="1"/>
  <c r="K303" i="1"/>
  <c r="J303" i="1"/>
  <c r="P302" i="1"/>
  <c r="K302" i="1"/>
  <c r="J302" i="1"/>
  <c r="P301" i="1"/>
  <c r="K301" i="1"/>
  <c r="J301" i="1"/>
  <c r="P300" i="1"/>
  <c r="K300" i="1"/>
  <c r="J300" i="1"/>
  <c r="P299" i="1"/>
  <c r="K299" i="1"/>
  <c r="J299" i="1"/>
  <c r="P298" i="1"/>
  <c r="K298" i="1"/>
  <c r="J298" i="1"/>
  <c r="P297" i="1"/>
  <c r="K297" i="1"/>
  <c r="J297" i="1"/>
  <c r="P296" i="1"/>
  <c r="K296" i="1"/>
  <c r="J296" i="1"/>
  <c r="P295" i="1"/>
  <c r="K295" i="1"/>
  <c r="J295" i="1"/>
  <c r="P294" i="1"/>
  <c r="K294" i="1"/>
  <c r="J294" i="1"/>
  <c r="P293" i="1"/>
  <c r="K293" i="1"/>
  <c r="J293" i="1"/>
  <c r="P292" i="1"/>
  <c r="K292" i="1"/>
  <c r="J292" i="1"/>
  <c r="P291" i="1"/>
  <c r="K291" i="1"/>
  <c r="J291" i="1"/>
  <c r="P290" i="1"/>
  <c r="K290" i="1"/>
  <c r="J290" i="1"/>
  <c r="P289" i="1"/>
  <c r="K289" i="1"/>
  <c r="J289" i="1"/>
  <c r="P288" i="1"/>
  <c r="K288" i="1"/>
  <c r="J288" i="1"/>
  <c r="P287" i="1"/>
  <c r="K287" i="1"/>
  <c r="J287" i="1"/>
  <c r="P286" i="1"/>
  <c r="K286" i="1"/>
  <c r="J286" i="1"/>
  <c r="P285" i="1"/>
  <c r="K285" i="1"/>
  <c r="J285" i="1"/>
  <c r="P284" i="1"/>
  <c r="K284" i="1"/>
  <c r="J284" i="1"/>
  <c r="P283" i="1"/>
  <c r="K283" i="1"/>
  <c r="J283" i="1"/>
  <c r="P282" i="1"/>
  <c r="K282" i="1"/>
  <c r="J282" i="1"/>
  <c r="P281" i="1"/>
  <c r="K281" i="1"/>
  <c r="J281" i="1"/>
  <c r="P280" i="1"/>
  <c r="K280" i="1"/>
  <c r="J280" i="1"/>
  <c r="P279" i="1"/>
  <c r="K279" i="1"/>
  <c r="J279" i="1"/>
  <c r="P278" i="1"/>
  <c r="K278" i="1"/>
  <c r="J278" i="1"/>
  <c r="P277" i="1"/>
  <c r="K277" i="1"/>
  <c r="J277" i="1"/>
  <c r="P276" i="1"/>
  <c r="K276" i="1"/>
  <c r="J276" i="1"/>
  <c r="P275" i="1"/>
  <c r="K275" i="1"/>
  <c r="J275" i="1"/>
  <c r="P274" i="1"/>
  <c r="K274" i="1"/>
  <c r="J274" i="1"/>
  <c r="P273" i="1"/>
  <c r="K273" i="1"/>
  <c r="J273" i="1"/>
  <c r="P272" i="1"/>
  <c r="K272" i="1"/>
  <c r="J272" i="1"/>
  <c r="P271" i="1"/>
  <c r="K271" i="1"/>
  <c r="J271" i="1"/>
  <c r="P270" i="1"/>
  <c r="K270" i="1"/>
  <c r="J270" i="1"/>
  <c r="P269" i="1"/>
  <c r="K269" i="1"/>
  <c r="J269" i="1"/>
  <c r="P268" i="1"/>
  <c r="K268" i="1"/>
  <c r="J268" i="1"/>
  <c r="P267" i="1"/>
  <c r="K267" i="1"/>
  <c r="J267" i="1"/>
  <c r="P266" i="1"/>
  <c r="K266" i="1"/>
  <c r="J266" i="1"/>
  <c r="P265" i="1"/>
  <c r="K265" i="1"/>
  <c r="J265" i="1"/>
  <c r="P264" i="1"/>
  <c r="K264" i="1"/>
  <c r="J264" i="1"/>
  <c r="P263" i="1"/>
  <c r="K263" i="1"/>
  <c r="J263" i="1"/>
  <c r="P262" i="1"/>
  <c r="K262" i="1"/>
  <c r="J262" i="1"/>
  <c r="P261" i="1"/>
  <c r="K261" i="1"/>
  <c r="J261" i="1"/>
  <c r="P260" i="1"/>
  <c r="K260" i="1"/>
  <c r="J260" i="1"/>
  <c r="P259" i="1"/>
  <c r="K259" i="1"/>
  <c r="J259" i="1"/>
  <c r="P258" i="1"/>
  <c r="K258" i="1"/>
  <c r="J258" i="1"/>
  <c r="P257" i="1"/>
  <c r="K257" i="1"/>
  <c r="J257" i="1"/>
  <c r="P256" i="1"/>
  <c r="K256" i="1"/>
  <c r="J256" i="1"/>
  <c r="P255" i="1"/>
  <c r="K255" i="1"/>
  <c r="J255" i="1"/>
  <c r="P254" i="1"/>
  <c r="K254" i="1"/>
  <c r="J254" i="1"/>
  <c r="P253" i="1"/>
  <c r="K253" i="1"/>
  <c r="J253" i="1"/>
  <c r="P252" i="1"/>
  <c r="K252" i="1"/>
  <c r="J252" i="1"/>
  <c r="P251" i="1"/>
  <c r="K251" i="1"/>
  <c r="J251" i="1"/>
  <c r="P250" i="1"/>
  <c r="K250" i="1"/>
  <c r="J250" i="1"/>
  <c r="P249" i="1"/>
  <c r="K249" i="1"/>
  <c r="J249" i="1"/>
  <c r="P248" i="1"/>
  <c r="K248" i="1"/>
  <c r="J248" i="1"/>
  <c r="P247" i="1"/>
  <c r="K247" i="1"/>
  <c r="J247" i="1"/>
  <c r="P246" i="1"/>
  <c r="K246" i="1"/>
  <c r="J246" i="1"/>
  <c r="P245" i="1"/>
  <c r="K245" i="1"/>
  <c r="J245" i="1"/>
  <c r="P244" i="1"/>
  <c r="K244" i="1"/>
  <c r="J244" i="1"/>
  <c r="P243" i="1"/>
  <c r="K243" i="1"/>
  <c r="J243" i="1"/>
  <c r="P242" i="1"/>
  <c r="K242" i="1"/>
  <c r="J242" i="1"/>
  <c r="P241" i="1"/>
  <c r="K241" i="1"/>
  <c r="J241" i="1"/>
  <c r="P240" i="1"/>
  <c r="K240" i="1"/>
  <c r="J240" i="1"/>
  <c r="P239" i="1"/>
  <c r="K239" i="1"/>
  <c r="J239" i="1"/>
  <c r="P238" i="1"/>
  <c r="K238" i="1"/>
  <c r="J238" i="1"/>
  <c r="P237" i="1"/>
  <c r="K237" i="1"/>
  <c r="J237" i="1"/>
  <c r="P236" i="1"/>
  <c r="K236" i="1"/>
  <c r="J236" i="1"/>
  <c r="P235" i="1"/>
  <c r="K235" i="1"/>
  <c r="J235" i="1"/>
  <c r="P234" i="1"/>
  <c r="K234" i="1"/>
  <c r="J234" i="1"/>
  <c r="P233" i="1"/>
  <c r="K233" i="1"/>
  <c r="J233" i="1"/>
  <c r="P232" i="1"/>
  <c r="K232" i="1"/>
  <c r="J232" i="1"/>
  <c r="P231" i="1"/>
  <c r="K231" i="1"/>
  <c r="J231" i="1"/>
  <c r="P230" i="1"/>
  <c r="K230" i="1"/>
  <c r="J230" i="1"/>
  <c r="P229" i="1"/>
  <c r="K229" i="1"/>
  <c r="J229" i="1"/>
  <c r="P228" i="1"/>
  <c r="K228" i="1"/>
  <c r="J228" i="1"/>
  <c r="P227" i="1"/>
  <c r="K227" i="1"/>
  <c r="J227" i="1"/>
  <c r="P226" i="1"/>
  <c r="K226" i="1"/>
  <c r="J226" i="1"/>
  <c r="P225" i="1"/>
  <c r="K225" i="1"/>
  <c r="J225" i="1"/>
  <c r="P224" i="1"/>
  <c r="K224" i="1"/>
  <c r="J224" i="1"/>
  <c r="P223" i="1"/>
  <c r="K223" i="1"/>
  <c r="J223" i="1"/>
  <c r="P222" i="1"/>
  <c r="K222" i="1"/>
  <c r="J222" i="1"/>
  <c r="P221" i="1"/>
  <c r="K221" i="1"/>
  <c r="J221" i="1"/>
  <c r="P220" i="1"/>
  <c r="K220" i="1"/>
  <c r="J220" i="1"/>
  <c r="P219" i="1"/>
  <c r="K219" i="1"/>
  <c r="J219" i="1"/>
  <c r="P218" i="1"/>
  <c r="K218" i="1"/>
  <c r="J218" i="1"/>
  <c r="P217" i="1"/>
  <c r="K217" i="1"/>
  <c r="J217" i="1"/>
  <c r="P216" i="1"/>
  <c r="K216" i="1"/>
  <c r="J216" i="1"/>
  <c r="P215" i="1"/>
  <c r="K215" i="1"/>
  <c r="J215" i="1"/>
  <c r="P214" i="1"/>
  <c r="K214" i="1"/>
  <c r="J214" i="1"/>
  <c r="P213" i="1"/>
  <c r="K213" i="1"/>
  <c r="J213" i="1"/>
  <c r="P212" i="1"/>
  <c r="K212" i="1"/>
  <c r="J212" i="1"/>
  <c r="P211" i="1"/>
  <c r="K211" i="1"/>
  <c r="J211" i="1"/>
  <c r="P210" i="1"/>
  <c r="K210" i="1"/>
  <c r="J210" i="1"/>
  <c r="P209" i="1"/>
  <c r="K209" i="1"/>
  <c r="J209" i="1"/>
  <c r="P208" i="1"/>
  <c r="K208" i="1"/>
  <c r="J208" i="1"/>
  <c r="P207" i="1"/>
  <c r="K207" i="1"/>
  <c r="J207" i="1"/>
  <c r="P206" i="1"/>
  <c r="K206" i="1"/>
  <c r="J206" i="1"/>
  <c r="P205" i="1"/>
  <c r="K205" i="1"/>
  <c r="J205" i="1"/>
  <c r="P204" i="1"/>
  <c r="K204" i="1"/>
  <c r="J204" i="1"/>
  <c r="P203" i="1"/>
  <c r="K203" i="1"/>
  <c r="J203" i="1"/>
  <c r="P202" i="1"/>
  <c r="K202" i="1"/>
  <c r="J202" i="1"/>
  <c r="P201" i="1"/>
  <c r="K201" i="1"/>
  <c r="J201" i="1"/>
  <c r="P200" i="1"/>
  <c r="K200" i="1"/>
  <c r="J200" i="1"/>
  <c r="P199" i="1"/>
  <c r="K199" i="1"/>
  <c r="J199" i="1"/>
  <c r="P198" i="1"/>
  <c r="K198" i="1"/>
  <c r="J198" i="1"/>
  <c r="P197" i="1"/>
  <c r="K197" i="1"/>
  <c r="J197" i="1"/>
  <c r="P196" i="1"/>
  <c r="K196" i="1"/>
  <c r="J196" i="1"/>
  <c r="P195" i="1"/>
  <c r="K195" i="1"/>
  <c r="J195" i="1"/>
  <c r="P194" i="1"/>
  <c r="K194" i="1"/>
  <c r="J194" i="1"/>
  <c r="P193" i="1"/>
  <c r="K193" i="1"/>
  <c r="J193" i="1"/>
  <c r="P192" i="1"/>
  <c r="K192" i="1"/>
  <c r="J192" i="1"/>
  <c r="P191" i="1"/>
  <c r="K191" i="1"/>
  <c r="J191" i="1"/>
  <c r="P190" i="1"/>
  <c r="K190" i="1"/>
  <c r="J190" i="1"/>
  <c r="P189" i="1"/>
  <c r="K189" i="1"/>
  <c r="J189" i="1"/>
  <c r="P188" i="1"/>
  <c r="K188" i="1"/>
  <c r="J188" i="1"/>
  <c r="P187" i="1"/>
  <c r="K187" i="1"/>
  <c r="J187" i="1"/>
  <c r="P186" i="1"/>
  <c r="K186" i="1"/>
  <c r="J186" i="1"/>
  <c r="P185" i="1"/>
  <c r="K185" i="1"/>
  <c r="J185" i="1"/>
  <c r="P184" i="1"/>
  <c r="K184" i="1"/>
  <c r="J184" i="1"/>
  <c r="P183" i="1"/>
  <c r="K183" i="1"/>
  <c r="J183" i="1"/>
  <c r="P182" i="1"/>
  <c r="K182" i="1"/>
  <c r="J182" i="1"/>
  <c r="P181" i="1"/>
  <c r="K181" i="1"/>
  <c r="J181" i="1"/>
  <c r="P180" i="1"/>
  <c r="K180" i="1"/>
  <c r="J180" i="1"/>
  <c r="P179" i="1"/>
  <c r="K179" i="1"/>
  <c r="J179" i="1"/>
  <c r="P178" i="1"/>
  <c r="K178" i="1"/>
  <c r="J178" i="1"/>
  <c r="P177" i="1"/>
  <c r="K177" i="1"/>
  <c r="J177" i="1"/>
  <c r="P176" i="1"/>
  <c r="K176" i="1"/>
  <c r="J176" i="1"/>
  <c r="P175" i="1"/>
  <c r="K175" i="1"/>
  <c r="J175" i="1"/>
  <c r="P174" i="1"/>
  <c r="K174" i="1"/>
  <c r="J174" i="1"/>
  <c r="P173" i="1"/>
  <c r="K173" i="1"/>
  <c r="J173" i="1"/>
  <c r="P172" i="1"/>
  <c r="K172" i="1"/>
  <c r="J172" i="1"/>
  <c r="P171" i="1"/>
  <c r="K171" i="1"/>
  <c r="J171" i="1"/>
  <c r="P170" i="1"/>
  <c r="K170" i="1"/>
  <c r="J170" i="1"/>
  <c r="P169" i="1"/>
  <c r="K169" i="1"/>
  <c r="J169" i="1"/>
  <c r="P168" i="1"/>
  <c r="K168" i="1"/>
  <c r="J168" i="1"/>
  <c r="P167" i="1"/>
  <c r="K167" i="1"/>
  <c r="J167" i="1"/>
  <c r="P166" i="1"/>
  <c r="K166" i="1"/>
  <c r="J166" i="1"/>
  <c r="P165" i="1"/>
  <c r="K165" i="1"/>
  <c r="J165" i="1"/>
  <c r="P164" i="1"/>
  <c r="K164" i="1"/>
  <c r="J164" i="1"/>
  <c r="P163" i="1"/>
  <c r="K163" i="1"/>
  <c r="J163" i="1"/>
  <c r="P162" i="1"/>
  <c r="K162" i="1"/>
  <c r="J162" i="1"/>
  <c r="P161" i="1"/>
  <c r="K161" i="1"/>
  <c r="J161" i="1"/>
  <c r="P160" i="1"/>
  <c r="K160" i="1"/>
  <c r="J160" i="1"/>
  <c r="P159" i="1"/>
  <c r="K159" i="1"/>
  <c r="J159" i="1"/>
  <c r="P158" i="1"/>
  <c r="K158" i="1"/>
  <c r="J158" i="1"/>
  <c r="P157" i="1"/>
  <c r="K157" i="1"/>
  <c r="J157" i="1"/>
  <c r="P156" i="1"/>
  <c r="K156" i="1"/>
  <c r="J156" i="1"/>
  <c r="P155" i="1"/>
  <c r="K155" i="1"/>
  <c r="J155" i="1"/>
  <c r="P154" i="1"/>
  <c r="K154" i="1"/>
  <c r="J154" i="1"/>
  <c r="P153" i="1"/>
  <c r="K153" i="1"/>
  <c r="J153" i="1"/>
  <c r="P152" i="1"/>
  <c r="K152" i="1"/>
  <c r="J152" i="1"/>
  <c r="P151" i="1"/>
  <c r="K151" i="1"/>
  <c r="J151" i="1"/>
  <c r="P150" i="1"/>
  <c r="K150" i="1"/>
  <c r="J150" i="1"/>
  <c r="P149" i="1"/>
  <c r="K149" i="1"/>
  <c r="J149" i="1"/>
  <c r="P148" i="1"/>
  <c r="K148" i="1"/>
  <c r="J148" i="1"/>
  <c r="P147" i="1"/>
  <c r="K147" i="1"/>
  <c r="J147" i="1"/>
  <c r="P146" i="1"/>
  <c r="K146" i="1"/>
  <c r="J146" i="1"/>
  <c r="P145" i="1"/>
  <c r="K145" i="1"/>
  <c r="J145" i="1"/>
  <c r="P144" i="1"/>
  <c r="K144" i="1"/>
  <c r="J144" i="1"/>
  <c r="P143" i="1"/>
  <c r="K143" i="1"/>
  <c r="J143" i="1"/>
  <c r="P142" i="1"/>
  <c r="K142" i="1"/>
  <c r="J142" i="1"/>
  <c r="P141" i="1"/>
  <c r="K141" i="1"/>
  <c r="J141" i="1"/>
  <c r="P140" i="1"/>
  <c r="K140" i="1"/>
  <c r="J140" i="1"/>
  <c r="P139" i="1"/>
  <c r="K139" i="1"/>
  <c r="J139" i="1"/>
  <c r="P138" i="1"/>
  <c r="K138" i="1"/>
  <c r="J138" i="1"/>
  <c r="P137" i="1"/>
  <c r="K137" i="1"/>
  <c r="J137" i="1"/>
  <c r="P136" i="1"/>
  <c r="K136" i="1"/>
  <c r="J136" i="1"/>
  <c r="P135" i="1"/>
  <c r="K135" i="1"/>
  <c r="J135" i="1"/>
  <c r="P134" i="1"/>
  <c r="K134" i="1"/>
  <c r="J134" i="1"/>
  <c r="P133" i="1"/>
  <c r="K133" i="1"/>
  <c r="J133" i="1"/>
  <c r="P132" i="1"/>
  <c r="K132" i="1"/>
  <c r="J132" i="1"/>
  <c r="P131" i="1"/>
  <c r="K131" i="1"/>
  <c r="J131" i="1"/>
  <c r="P130" i="1"/>
  <c r="K130" i="1"/>
  <c r="J130" i="1"/>
  <c r="P129" i="1"/>
  <c r="K129" i="1"/>
  <c r="J129" i="1"/>
  <c r="P128" i="1"/>
  <c r="K128" i="1"/>
  <c r="J128" i="1"/>
  <c r="P127" i="1"/>
  <c r="K127" i="1"/>
  <c r="J127" i="1"/>
  <c r="P126" i="1"/>
  <c r="K126" i="1"/>
  <c r="J126" i="1"/>
  <c r="P125" i="1"/>
  <c r="K125" i="1"/>
  <c r="J125" i="1"/>
  <c r="P124" i="1"/>
  <c r="K124" i="1"/>
  <c r="J124" i="1"/>
  <c r="P123" i="1"/>
  <c r="K123" i="1"/>
  <c r="J123" i="1"/>
  <c r="P122" i="1"/>
  <c r="K122" i="1"/>
  <c r="J122" i="1"/>
  <c r="P121" i="1"/>
  <c r="K121" i="1"/>
  <c r="J121" i="1"/>
  <c r="P120" i="1"/>
  <c r="K120" i="1"/>
  <c r="J120" i="1"/>
  <c r="P119" i="1"/>
  <c r="K119" i="1"/>
  <c r="J119" i="1"/>
  <c r="P118" i="1"/>
  <c r="K118" i="1"/>
  <c r="J118" i="1"/>
  <c r="P117" i="1"/>
  <c r="K117" i="1"/>
  <c r="J117" i="1"/>
  <c r="P116" i="1"/>
  <c r="K116" i="1"/>
  <c r="J116" i="1"/>
  <c r="P115" i="1"/>
  <c r="K115" i="1"/>
  <c r="J115" i="1"/>
  <c r="P114" i="1"/>
  <c r="K114" i="1"/>
  <c r="J114" i="1"/>
  <c r="P113" i="1"/>
  <c r="K113" i="1"/>
  <c r="J113" i="1"/>
  <c r="P112" i="1"/>
  <c r="K112" i="1"/>
  <c r="J112" i="1"/>
  <c r="P111" i="1"/>
  <c r="K111" i="1"/>
  <c r="J111" i="1"/>
  <c r="P110" i="1"/>
  <c r="K110" i="1"/>
  <c r="J110" i="1"/>
  <c r="P109" i="1"/>
  <c r="K109" i="1"/>
  <c r="J109" i="1"/>
  <c r="P108" i="1"/>
  <c r="K108" i="1"/>
  <c r="J108" i="1"/>
  <c r="P107" i="1"/>
  <c r="K107" i="1"/>
  <c r="J107" i="1"/>
  <c r="P106" i="1"/>
  <c r="K106" i="1"/>
  <c r="J106" i="1"/>
  <c r="P105" i="1"/>
  <c r="K105" i="1"/>
  <c r="J105" i="1"/>
  <c r="P104" i="1"/>
  <c r="K104" i="1"/>
  <c r="J104" i="1"/>
  <c r="P103" i="1"/>
  <c r="K103" i="1"/>
  <c r="J103" i="1"/>
  <c r="P102" i="1"/>
  <c r="K102" i="1"/>
  <c r="J102" i="1"/>
  <c r="P101" i="1"/>
  <c r="K101" i="1"/>
  <c r="J101" i="1"/>
  <c r="P100" i="1"/>
  <c r="K100" i="1"/>
  <c r="J100" i="1"/>
  <c r="P99" i="1"/>
  <c r="K99" i="1"/>
  <c r="J99" i="1"/>
  <c r="P98" i="1"/>
  <c r="K98" i="1"/>
  <c r="J98" i="1"/>
  <c r="P97" i="1"/>
  <c r="K97" i="1"/>
  <c r="J97" i="1"/>
  <c r="P96" i="1"/>
  <c r="K96" i="1"/>
  <c r="J96" i="1"/>
  <c r="P95" i="1"/>
  <c r="K95" i="1"/>
  <c r="J95" i="1"/>
  <c r="P94" i="1"/>
  <c r="K94" i="1"/>
  <c r="J94" i="1"/>
  <c r="P93" i="1"/>
  <c r="K93" i="1"/>
  <c r="J93" i="1"/>
  <c r="P92" i="1"/>
  <c r="K92" i="1"/>
  <c r="J92" i="1"/>
  <c r="P91" i="1"/>
  <c r="K91" i="1"/>
  <c r="J91" i="1"/>
  <c r="P90" i="1"/>
  <c r="K90" i="1"/>
  <c r="J90" i="1"/>
  <c r="P89" i="1"/>
  <c r="K89" i="1"/>
  <c r="J89" i="1"/>
  <c r="P88" i="1"/>
  <c r="K88" i="1"/>
  <c r="J88" i="1"/>
  <c r="P87" i="1"/>
  <c r="K87" i="1"/>
  <c r="J87" i="1"/>
  <c r="P86" i="1"/>
  <c r="K86" i="1"/>
  <c r="J86" i="1"/>
  <c r="P85" i="1"/>
  <c r="K85" i="1"/>
  <c r="J85" i="1"/>
  <c r="P84" i="1"/>
  <c r="K84" i="1"/>
  <c r="J84" i="1"/>
  <c r="P83" i="1"/>
  <c r="K83" i="1"/>
  <c r="J83" i="1"/>
  <c r="P82" i="1"/>
  <c r="K82" i="1"/>
  <c r="J82" i="1"/>
  <c r="P81" i="1"/>
  <c r="K81" i="1"/>
  <c r="J81" i="1"/>
  <c r="P80" i="1"/>
  <c r="K80" i="1"/>
  <c r="J80" i="1"/>
  <c r="P79" i="1"/>
  <c r="K79" i="1"/>
  <c r="J79" i="1"/>
  <c r="P78" i="1"/>
  <c r="K78" i="1"/>
  <c r="J78" i="1"/>
  <c r="P77" i="1"/>
  <c r="K77" i="1"/>
  <c r="J77" i="1"/>
  <c r="P76" i="1"/>
  <c r="K76" i="1"/>
  <c r="J76" i="1"/>
  <c r="P75" i="1"/>
  <c r="K75" i="1"/>
  <c r="J75" i="1"/>
  <c r="P74" i="1"/>
  <c r="K74" i="1"/>
  <c r="J74" i="1"/>
  <c r="P73" i="1"/>
  <c r="K73" i="1"/>
  <c r="J73" i="1"/>
  <c r="P72" i="1"/>
  <c r="K72" i="1"/>
  <c r="J72" i="1"/>
  <c r="P71" i="1"/>
  <c r="K71" i="1"/>
  <c r="J71" i="1"/>
  <c r="P70" i="1"/>
  <c r="K70" i="1"/>
  <c r="J70" i="1"/>
  <c r="P69" i="1"/>
  <c r="K69" i="1"/>
  <c r="J69" i="1"/>
  <c r="P68" i="1"/>
  <c r="K68" i="1"/>
  <c r="J68" i="1"/>
  <c r="P67" i="1"/>
  <c r="K67" i="1"/>
  <c r="J67" i="1"/>
  <c r="P66" i="1"/>
  <c r="K66" i="1"/>
  <c r="J66" i="1"/>
  <c r="P65" i="1"/>
  <c r="K65" i="1"/>
  <c r="J65" i="1"/>
  <c r="P64" i="1"/>
  <c r="K64" i="1"/>
  <c r="J64" i="1"/>
  <c r="P63" i="1"/>
  <c r="K63" i="1"/>
  <c r="J63" i="1"/>
  <c r="P62" i="1"/>
  <c r="K62" i="1"/>
  <c r="J62" i="1"/>
  <c r="P61" i="1"/>
  <c r="K61" i="1"/>
  <c r="J61" i="1"/>
  <c r="P60" i="1"/>
  <c r="K60" i="1"/>
  <c r="J60" i="1"/>
  <c r="P59" i="1"/>
  <c r="K59" i="1"/>
  <c r="J59" i="1"/>
  <c r="P58" i="1"/>
  <c r="K58" i="1"/>
  <c r="J58" i="1"/>
  <c r="P57" i="1"/>
  <c r="K57" i="1"/>
  <c r="J57" i="1"/>
  <c r="P56" i="1"/>
  <c r="K56" i="1"/>
  <c r="J56" i="1"/>
  <c r="P55" i="1"/>
  <c r="K55" i="1"/>
  <c r="J55" i="1"/>
  <c r="P54" i="1"/>
  <c r="K54" i="1"/>
  <c r="J54" i="1"/>
  <c r="P53" i="1"/>
  <c r="K53" i="1"/>
  <c r="J53" i="1"/>
  <c r="P52" i="1"/>
  <c r="K52" i="1"/>
  <c r="J52" i="1"/>
  <c r="P51" i="1"/>
  <c r="K51" i="1"/>
  <c r="J51" i="1"/>
  <c r="P50" i="1"/>
  <c r="K50" i="1"/>
  <c r="J50" i="1"/>
  <c r="P49" i="1"/>
  <c r="K49" i="1"/>
  <c r="J49" i="1"/>
  <c r="P48" i="1"/>
  <c r="K48" i="1"/>
  <c r="J48" i="1"/>
  <c r="P47" i="1"/>
  <c r="K47" i="1"/>
  <c r="J47" i="1"/>
  <c r="P46" i="1"/>
  <c r="K46" i="1"/>
  <c r="J46" i="1"/>
  <c r="P45" i="1"/>
  <c r="K45" i="1"/>
  <c r="J45" i="1"/>
  <c r="P44" i="1"/>
  <c r="K44" i="1"/>
  <c r="J44" i="1"/>
  <c r="P43" i="1"/>
  <c r="K43" i="1"/>
  <c r="J43" i="1"/>
  <c r="P42" i="1"/>
  <c r="K42" i="1"/>
  <c r="J42" i="1"/>
  <c r="P41" i="1"/>
  <c r="K41" i="1"/>
  <c r="J41" i="1"/>
  <c r="P40" i="1"/>
  <c r="K40" i="1"/>
  <c r="J40" i="1"/>
  <c r="P39" i="1"/>
  <c r="K39" i="1"/>
  <c r="J39" i="1"/>
  <c r="P38" i="1"/>
  <c r="K38" i="1"/>
  <c r="J38" i="1"/>
  <c r="P37" i="1"/>
  <c r="K37" i="1"/>
  <c r="J37" i="1"/>
  <c r="P36" i="1"/>
  <c r="K36" i="1"/>
  <c r="J36" i="1"/>
  <c r="P35" i="1"/>
  <c r="K35" i="1"/>
  <c r="J35" i="1"/>
  <c r="P34" i="1"/>
  <c r="K34" i="1"/>
  <c r="J34" i="1"/>
  <c r="P33" i="1"/>
  <c r="K33" i="1"/>
  <c r="J33" i="1"/>
  <c r="P32" i="1"/>
  <c r="K32" i="1"/>
  <c r="J32" i="1"/>
  <c r="P31" i="1"/>
  <c r="K31" i="1"/>
  <c r="J31" i="1"/>
  <c r="P30" i="1"/>
  <c r="K30" i="1"/>
  <c r="J30" i="1"/>
  <c r="P29" i="1"/>
  <c r="K29" i="1"/>
  <c r="J29" i="1"/>
  <c r="P28" i="1"/>
  <c r="K28" i="1"/>
  <c r="J28" i="1"/>
  <c r="P27" i="1"/>
  <c r="K27" i="1"/>
  <c r="J27" i="1"/>
  <c r="P26" i="1"/>
  <c r="K26" i="1"/>
  <c r="J26" i="1"/>
  <c r="P25" i="1"/>
  <c r="K25" i="1"/>
  <c r="J25" i="1"/>
  <c r="P24" i="1"/>
  <c r="K24" i="1"/>
  <c r="J24" i="1"/>
  <c r="P23" i="1"/>
  <c r="K23" i="1"/>
  <c r="J23" i="1"/>
  <c r="P22" i="1"/>
  <c r="K22" i="1"/>
  <c r="J22" i="1"/>
  <c r="P21" i="1"/>
  <c r="K21" i="1"/>
  <c r="J21" i="1"/>
  <c r="P20" i="1"/>
  <c r="K20" i="1"/>
  <c r="J20" i="1"/>
  <c r="P19" i="1"/>
  <c r="K19" i="1"/>
  <c r="J19" i="1"/>
  <c r="P18" i="1"/>
  <c r="K18" i="1"/>
  <c r="J18" i="1"/>
  <c r="P17" i="1"/>
  <c r="K17" i="1"/>
  <c r="J17" i="1"/>
  <c r="P16" i="1"/>
  <c r="K16" i="1"/>
  <c r="J16" i="1"/>
  <c r="P15" i="1"/>
  <c r="K15" i="1"/>
  <c r="J15" i="1"/>
  <c r="P14" i="1"/>
  <c r="K14" i="1"/>
  <c r="J14" i="1"/>
  <c r="P13" i="1"/>
  <c r="K13" i="1"/>
  <c r="J13" i="1"/>
  <c r="P12" i="1"/>
  <c r="K12" i="1"/>
  <c r="J12" i="1"/>
  <c r="P11" i="1"/>
  <c r="K11" i="1"/>
  <c r="J11" i="1"/>
  <c r="P10" i="1"/>
  <c r="K10" i="1"/>
  <c r="J10" i="1"/>
  <c r="P9" i="1"/>
  <c r="K9" i="1"/>
  <c r="J9" i="1"/>
  <c r="P8" i="1"/>
  <c r="K8" i="1"/>
  <c r="J8" i="1"/>
  <c r="P7" i="1"/>
  <c r="K7" i="1"/>
  <c r="J7" i="1"/>
  <c r="P6" i="1"/>
  <c r="K6" i="1"/>
  <c r="J6" i="1"/>
  <c r="P5" i="1"/>
  <c r="K5" i="1"/>
  <c r="J5" i="1"/>
  <c r="P4" i="1"/>
  <c r="K4" i="1"/>
  <c r="J4" i="1"/>
</calcChain>
</file>

<file path=xl/sharedStrings.xml><?xml version="1.0" encoding="utf-8"?>
<sst xmlns="http://schemas.openxmlformats.org/spreadsheetml/2006/main" count="2675" uniqueCount="636">
  <si>
    <t>EMPRESA</t>
  </si>
  <si>
    <t>DEPARTAMENTO</t>
  </si>
  <si>
    <t>CARGO</t>
  </si>
  <si>
    <t>EVALUADO</t>
  </si>
  <si>
    <t>FECHA</t>
  </si>
  <si>
    <t>DEPARTAMENTO SOPORTE</t>
  </si>
  <si>
    <t>CARGO SOPORTE</t>
  </si>
  <si>
    <t>ACTIVIDAD</t>
  </si>
  <si>
    <t>PROCESO</t>
  </si>
  <si>
    <t>ACCIONES</t>
  </si>
  <si>
    <t>TIPO DE ANALISIS</t>
  </si>
  <si>
    <t>DEPARTAMENTO ENC</t>
  </si>
  <si>
    <t>TIEMPO INICIO</t>
  </si>
  <si>
    <t>TIEMPO FIN</t>
  </si>
  <si>
    <t>TIEMPO</t>
  </si>
  <si>
    <t>OBSERVACIONES</t>
  </si>
  <si>
    <t>OPORTUNIDADES DE MEJORA</t>
  </si>
  <si>
    <t>TSER</t>
  </si>
  <si>
    <t>CONTABILIDAD</t>
  </si>
  <si>
    <t>ANALISTA CONTABLE 2 EXPORTADORAS</t>
  </si>
  <si>
    <t>GERALDINE NAULA</t>
  </si>
  <si>
    <t>CONSOLIDACIÓN DE VENTAS CÍAS RELACIONADAS A MLC</t>
  </si>
  <si>
    <t>CON ACTIVIDAD</t>
  </si>
  <si>
    <t>Viernes 07/11/2025 envió la conciliación de las exportadoras, comparativo de compras y ventas de compañías relacionadas, vale contra TFE, multi, y TSER.
Actualización de la actividad realizada el día viernes 07/11/2025.</t>
  </si>
  <si>
    <t>FACTURACIÓN CIF BANANO A CLIENTES EN MULTINATIONAL</t>
  </si>
  <si>
    <t>Facturación se refiere al ingreso de facturas en base a una compra de producto.
Va a hablar con Jennifer algún cambio de precio o si han habido ciertas divisiones.</t>
  </si>
  <si>
    <t>NECESIDADES BIOLÓGICAS</t>
  </si>
  <si>
    <t>SA</t>
  </si>
  <si>
    <t>Tuvo toda la información lista hasta que Jennifer le responda, como no le ha respondido, va a continuar con otra actividad.</t>
  </si>
  <si>
    <t>LIQUIDACIÓN - GASTOS ARROZ</t>
  </si>
  <si>
    <t>ENC</t>
  </si>
  <si>
    <t>11:14 vino Jennifer a decirle algo relacionado al arroz a Geraldine. Lo que sucede es que Jennifer tiene que desaplicar unas facuras (cuyo total es de 268.50 USD) que no corresponde a la cosecha puesto que a la cosecha del PAN corresponde algo relacionado al de la ISLA.</t>
  </si>
  <si>
    <t>Se puede crear una solución integral para establecer una mejor comunicación entre José Terán (de servicios auxiliares) y Contabilidad puesto que actualmente la gestión se la realiza mediante un papel y está presto a errores y confusiones.</t>
  </si>
  <si>
    <t>ALIMENTACIÓN</t>
  </si>
  <si>
    <t>José Terán solicita anticipos a financiero a medida de la cosecha del arroz, y hay facturas que nos llegan al sri y éstas nos llegan al SRI.</t>
  </si>
  <si>
    <t>DEFINICIÓN</t>
  </si>
  <si>
    <t>Geraldine me explica el tema de la cosecha del arroz.</t>
  </si>
  <si>
    <t>ASISTENTE CONTABLE</t>
  </si>
  <si>
    <t>SOPORTE INGRESO DE FACTURAS  DE COMPRAS</t>
  </si>
  <si>
    <t>Le da soporte a Marly porque está en su periodo de lactancia.</t>
  </si>
  <si>
    <t>CONTROL DE CUENTAS POR PAGAR Y REVISIÓN DE GASTOS OPERATIVOS EN EXPORTADORAS</t>
  </si>
  <si>
    <t>ahorita pare un rato lo de la facturacion porque ingresare un NC que me solicito angelo
eso es cuentas por pagar</t>
  </si>
  <si>
    <t>CERTIFICACIONES</t>
  </si>
  <si>
    <t>ASISTENTE EN CERTIFICACIONES</t>
  </si>
  <si>
    <t>CAPACITACIÓN Y ASISTENCIA EN SAP A OTROS DEPARTAMENTOS</t>
  </si>
  <si>
    <t>Holis Jonathan ahorita estoy dando soporte a otro dep
es certificaciones en este caso
me estan solicitando un ruc</t>
  </si>
  <si>
    <t>ya le di la info a Ruben 
ahorita me escribio angelo para que ingrese una fc de consorcio
entonces eso hare
es CxP igual
pero aun falta AFC porque jenn aun no me confirma un dato
apenas jenn me confirme sigo con eso</t>
  </si>
  <si>
    <t>Definimos ciertas actividades pendientes y aquellas en las que da soporte a otros 
departamentos o compañeros de trabajo.</t>
  </si>
  <si>
    <t>ASIENTOS POR DESCUENTOS A EMPLEADOS MEDIANTE ROL</t>
  </si>
  <si>
    <t>ahorita voy a registrar unos descuentos de nómina</t>
  </si>
  <si>
    <t>RECLASIFICACIONES CONTABLES Y AJUSTES MENSUALES</t>
  </si>
  <si>
    <t>A la espera de la información de Jennifer Medranda. SIIM MAERSK</t>
  </si>
  <si>
    <t>FACTURACIÓN CIF PLÁTANO A CLIENTES EN MULTINATIONAL</t>
  </si>
  <si>
    <t>A la espera de la información de Jennifer Medranda. P&amp;A</t>
  </si>
  <si>
    <t>COMPARATIVO VENTAS MLC Y DECLARACION COFACE</t>
  </si>
  <si>
    <t>EMISIÓN CERTIFICADOS DE EXPORTACIÓN</t>
  </si>
  <si>
    <t>SOPORTE MEDIANTE AUDITORÍA EXTERNAS E INTERNAS</t>
  </si>
  <si>
    <t>ELABORACIÓN DE REPORTES FINANCIEROS</t>
  </si>
  <si>
    <t>CREACIÓN Y ACTUALIZACIÓN DE ARTÍCULOS Y CUENTAS CONTABLES EN SAP</t>
  </si>
  <si>
    <t>Hoy revisaré el flujo de multinational
eso es un excel compartido que tenemos con juanjo de comercial
y el en este excel registra todas las facturas de proveedores que son emitidas a multinational
como sabes multinational es de USA entonces no esta en el portal del SRI
Por ese motivo se creo este flujo, para tener un mayor control
ese lo usamos juan, angelo y yo
juanjo llena el excel, yo lo reviso y hago los ingresos de fc correspondiente y angelo mira lo que esta ingresado y paga
asi nos manejamos</t>
  </si>
  <si>
    <t>FACTURACIÓN DDP BANANO COSTCO</t>
  </si>
  <si>
    <t>GESTIÓN DE REPOSICIÓN Y CONTROL DE CAJA CHICA EL CARMEN Y EL PAN</t>
  </si>
  <si>
    <t>ya me llegaron las fc de tfe a mlc por la venta de fruta</t>
  </si>
  <si>
    <t>GESTIÓN CONTABLE Y CLASIFICACIÓN DE CUENTAS FINANCIERAS</t>
  </si>
  <si>
    <t>SMART</t>
  </si>
  <si>
    <t>PLANIFICACIÓN</t>
  </si>
  <si>
    <t>PLANIFICADOR</t>
  </si>
  <si>
    <t>BRANCO DÁVILA</t>
  </si>
  <si>
    <t>PROGRAMACIÓN DE TRANSPORTE</t>
  </si>
  <si>
    <t>Tuvo reunión con Abelardo, pero, no me avisó en qué momento se reunió con él, por tal motivo, en este tiempo tiene asociado lo que le tomó la reunión con Abelardo.</t>
  </si>
  <si>
    <t>REVISIÓN PLANIFICACIÓN DE PIÑAS</t>
  </si>
  <si>
    <t>REVISIÓN PROGRAMACIÓN PLÁTANO</t>
  </si>
  <si>
    <t>REVISIÓN PROGRAMACIÓN CACAO</t>
  </si>
  <si>
    <t>espero confirmacion de los transportista</t>
  </si>
  <si>
    <t xml:space="preserve">Espero confirmacion de Victor si se mantienen lo programado en ftl con dos casos en fincas. Hasta eso voy a parar la programacion de transporte. </t>
  </si>
  <si>
    <t>REVISIÓN KILOMETRAJE INICIO DE SEMANA</t>
  </si>
  <si>
    <t>culminado la recopilacion de informacion de los kilometrajes de la flota propia.</t>
  </si>
  <si>
    <t>voy a volver a la revisar la programacion, ya que en el grupo de fallos reportaron cambios
pasado los viajes a los proveedores de transporte finalizado</t>
  </si>
  <si>
    <t>REVISIÓN PROGRAMACIÓN OPERACIONES</t>
  </si>
  <si>
    <t>REVISIÓN PROGRAMACIÓN BANANO</t>
  </si>
  <si>
    <t>banano termine de acoplar lo de ftl al programa de transporte. Aqui espero confirmacion de logistica sobre el tipo de ctr, carreta o camion que vayan a procesar en fincas puntuales</t>
  </si>
  <si>
    <t>Lo de la planificación de piñas, tambien lo hago diario por los cambios que realizan los clientes. El programa que ellos pasan no siempre se cumple. Por lo que es necesario revisar diario para evitar que algun ctr no se retire o envie.
lo que mencionaba sobre piñas que hay que programar por dia
ya hay un cambio</t>
  </si>
  <si>
    <t>PROGRAMACIÓN DE OLAM</t>
  </si>
  <si>
    <t>si, luego de la programacion ( Realizar el archivo)
debo asignar, es decir revisar cantidades de vehiculos por transportista
en funcion de la cantidad de viajes
es la parte que mas toma tiempo, ya que los proveedores terminan fallando las cantidades acordadas.
El sabado laboro tambien, ahi me pongo a cuadrar cantidad de carros a usar por dia, esto es preliminar. En el transcurso del dia a requerir si hay cambios o se mantiene mantengo comunicacion con el transportista</t>
  </si>
  <si>
    <t>Ahora voy al baño. Regreso en 15 min. Avanzo luego almorzar y retomo.
la siguiente actividad es revisar Kilometrajes de inicio de semana.
Ayer realize kilometrajes de finalizacion
es decir, como los vehiculos trabajan hasta los sabados y se desocupan recien el domingo madrugada</t>
  </si>
  <si>
    <t>ELABORACIÓN KILOMETRAJE FINALIZACIÓN</t>
  </si>
  <si>
    <t>Ahora mismo, del grupo de base de datos, alli reportan los choferes kilometrajes del vehiculo y chasis
inicio frecuentemente los martes como inicio de semana
ya que los lunes al no haber volumen para todos los vehiculos viajan una cierta cantidad.
Martes ya viajan todos.
por ende ya la informacion esta completa para recopilar.
en este momento culmine, pendiente que un chofer envie el dato del kilometraje del chasis
por ahora cierro.</t>
  </si>
  <si>
    <t>RENOVACIÓN DE DOCUMENTOS DE VEHÍCULOS EN DP WORLD</t>
  </si>
  <si>
    <t>Avanzo a realizar renovacion de documentos de vehiculos en dp world
luego contecon
Lo que voy hacer es solicitudes para actualizacion de documentos de 3 cabezales
esta por vencer la revision tecnica vehicular
pero ya tengo las ordenes por recaudacion
lo subo como prorroga hasta que emita atm los certificados
ahora me encuentro revisando en la base los documentos que me los enviaron</t>
  </si>
  <si>
    <t>REVISIÓN PROGRAMACIÓN EN FTL</t>
  </si>
  <si>
    <t>hasta la mañana habia una programacion diferente en asopaop. Ya hay cambios que no han notificado en el grupo de fallas
por eso en este horario debo revisar
grupo de fallas
no hay reporte</t>
  </si>
  <si>
    <t>procedo a revisar choferes habilitados en puertos asignados.
le voy a pasar el programa a Logistica para la revision
luego de ellos me pongo a revisar el detalle de reserva vs programacion para verificar
acopios que deben pedirme para separar los carros y verificar consumo de bks de semana
el detalle de reserva lo pasa comex, en base a eso se revisa.
Tambien incluir envio de viajes a los choferes que no manejan un coordinador.</t>
  </si>
  <si>
    <t>AJUSTE DE PROGRAMACIÓN DE DESPACHO</t>
  </si>
  <si>
    <t>del corte del miercoles
hay carros que aun no culminan los viajes
de ayer y estan de regreso</t>
  </si>
  <si>
    <t>PROGRAMACIÓN DE PLÁTANO, PIÑAS Y CACAO</t>
  </si>
  <si>
    <t>voy avanzar con programacion de platano, piñas y cacao
lo de banano casi culminado hasta que confirme operaciones si algo mas van a programar.
culmine lo que es la recopilacion de las solicitudes de mañana</t>
  </si>
  <si>
    <t>ahora a gestionar planificacion de vehiculos
vs la cantidad de procesos para mañana
Dentro del proceso de revisar cantidades tambien reviso los vehiculos terceros fijos que viajan en el dia presente
puertos en los que entregan si salen sellado o no
para en base a esos indicadores tener de posible hora en que estaria desocupado y si avanza a viajar al dia siguiente
ya definido lo antes mencionado y asignado los vehiculos de smart
indentifico que cantidad me falta de vehiculos cubrir
ahora debo revisar proveedores que no esten viajando de preferencia en que horarios estan desocupados los carros.</t>
  </si>
  <si>
    <t>Lo que es planifiacion de transporte, hasta el momento ya finalizado. Voy avanzar con los horometros de los viajes con generador que no esta culminado.</t>
  </si>
  <si>
    <t>HORÓMETROS DE VIAJE CON GENERADOR</t>
  </si>
  <si>
    <t>basicamente lo que hago es revisar en el grupo de generadores de los propios y proveedores
que hicieron viajes con generador, para piñas, platano y pescado
y recopilar el respaldo visual ( video)
para tener constancia de que salio desde la base a su destino y desde el destino al puerto respetando la cadena de frio.
con los horometros por diferencia
voy a constatar que se cumplan con las horas de encendido del generador y ctr</t>
  </si>
  <si>
    <t>que ajustes se pueden hacer
estamos atrasados en los posicionamientos
por temas de congestion de retiros en los depositos</t>
  </si>
  <si>
    <t>REVISIÓN VEHÍCULOS LOGÍSTICA</t>
  </si>
  <si>
    <t>revisando los vehiculos
que estan en proceso de retiro y posionamiento en finca
revisando con Ricardo
que hay retrasos con las salidas a finca</t>
  </si>
  <si>
    <t>REVISIÓN DE FACTURAS DE GENERADORES</t>
  </si>
  <si>
    <t>voy a revisar unas facturas de uso de generadores
que alquilados si todo corresponde a los usos.
Descartar actividad, aun no me pasan las fac</t>
  </si>
  <si>
    <t>ANALISTA CONTABLE</t>
  </si>
  <si>
    <t>MELANIE MIRANDA</t>
  </si>
  <si>
    <t>Creación de proveedores y artículos en Sap</t>
  </si>
  <si>
    <t>Revisar y analizar cobros de contenedores</t>
  </si>
  <si>
    <t>ya terminé de hablar con Oscar, ahora voy a indicar a las chicas sobre el caso de las 165 cajas que quedaron pendiente</t>
  </si>
  <si>
    <t>Control y seguimiento de soportes y escaneos documentales</t>
  </si>
  <si>
    <t>Consolidado de transporte</t>
  </si>
  <si>
    <t>haré la act 24, que es llamar al cliente para indicarle que se anuló con nc las fact y no se podrá facturar, por lo que le comenté
ya que ella estaba esperando para el día de hoy que le facture</t>
  </si>
  <si>
    <t>Control y validación de reporte de transporte de contenedor</t>
  </si>
  <si>
    <t>Elaborar y revisar reportes de cobro de ingreso de contenedores</t>
  </si>
  <si>
    <t>haré la actividad 28 nomas, ya que queria facturar otros temas, pero no abre sap
lo que haré es un envío de las fact y un archivo al cliente, ya que ya lo facturé la sem pasada</t>
  </si>
  <si>
    <t>revisando un contenedor que me indican las chicas</t>
  </si>
  <si>
    <t>Atención a consultas de productores sobre la facturación</t>
  </si>
  <si>
    <t>Elaborar y revisar reportes de cobro de movimiento de fruta.</t>
  </si>
  <si>
    <t>Verificación de anulación de retenciones</t>
  </si>
  <si>
    <t>Gestionar facturación, notas de crédito y refacturaciones semanales de contenedores.</t>
  </si>
  <si>
    <t>Control y validación de liquidación de Grupo Noboa</t>
  </si>
  <si>
    <t>Control y actualización del registro de transportistas tercerizados</t>
  </si>
  <si>
    <t>Control y seguimiento de guías de remisión</t>
  </si>
  <si>
    <t>Consolidado de ingreso de contenedores</t>
  </si>
  <si>
    <t>Revisar, solicitar y corregir guías para facturación en SAP</t>
  </si>
  <si>
    <t>Gestionar y validar las devoluciones a productores</t>
  </si>
  <si>
    <t>Validación de información contable sistema SAP - Reportes de transporte</t>
  </si>
  <si>
    <t>Elaborar y revisar reportes de cobro de materiales.</t>
  </si>
  <si>
    <t>Emisión de facturas tipo COI/ATMOSFERA</t>
  </si>
  <si>
    <t>Realizar refacturaciones y emisiones de notas de crédito</t>
  </si>
  <si>
    <t>Elaboración y envío de detalle de facturación Grupo Tfe</t>
  </si>
  <si>
    <t>Control y seguimiento de soportes pendientes de reportes de viajes</t>
  </si>
  <si>
    <t>ANALISTA CONTABLE 1 EXPORTADORAS</t>
  </si>
  <si>
    <t>SHIRLEY LUCIN</t>
  </si>
  <si>
    <t xml:space="preserve">ESTATUS GRUPO TFE </t>
  </si>
  <si>
    <t xml:space="preserve">CREACIÓN DE CUENTAS CONTABLE TSER/TFE </t>
  </si>
  <si>
    <t>ELABORACION  DE CUADRO DE SEGUROS POR AMORTIZAR TSER</t>
  </si>
  <si>
    <t>SOLICITUD DE DEVOLUCIONES DE IMPUESTOS DE TSER</t>
  </si>
  <si>
    <t xml:space="preserve">BLOQUEO PERIODO CONTABLE TFE </t>
  </si>
  <si>
    <t>ABASTECIMIENTO GUIAS DE REMISIÓN Y HOJAS DE RUTA TFE</t>
  </si>
  <si>
    <t xml:space="preserve">ELABORACION  DE CUADRO DE ACTIVOS INTANGIBLES TSER  </t>
  </si>
  <si>
    <t xml:space="preserve">LIQUIDACIÓN DE IMPORTACIONES TFE </t>
  </si>
  <si>
    <t>sigo realizando la actividad # 31 sin embargo estoy revisando y tengo una novedad por un registro incorrecto y por lo que procederé a reclasificar que también esta dentro de mis funciones 
#4</t>
  </si>
  <si>
    <t xml:space="preserve">REGISTRO DE RECLASIFICACIONES TSER/TFE </t>
  </si>
  <si>
    <t xml:space="preserve">BAJA CXP/TFE  </t>
  </si>
  <si>
    <t>tengo un caso puntual ayer me solicitaron un requerimiento y hoy referente a eso piden otros anexos
me indica el contador Cesar que es un tema de negociación que tfe esta realizando con otra parte (x tema de flujo) sobre las nc del sri que estan en revisión</t>
  </si>
  <si>
    <t xml:space="preserve">CONCILIACIÓN  CUENTA JUBILACIÓN Y DESAHUCIO TSER/TFE/INTELCOMAX </t>
  </si>
  <si>
    <t xml:space="preserve">ELABORACIÓN DE PLANTILLA DE DEPRECIACION DE ACTIVOS FIJOS TFE </t>
  </si>
  <si>
    <t>aqui quiero hacer énfasis
lo q es registro de depreciaciones en tser y tfe utilizamos un recurso de sap para que el registro sea mucho mas rápido
ya q al ser varias lineas si lo hacemos directo en sap el proceso demora mucho
fin de actividad #3 ELABORACIÓN DE PLANTILLA DE DEPRECIACION DE ACTIVOS FIJOS (en este caso tser xq tfe estaría pendiente hasta que me pase Cesar)</t>
  </si>
  <si>
    <t>inicio de actividad # 4 ayer creo la hice, pero hoy toca hacer otra, según las novedades de las revisiones se van dando la necesidad</t>
  </si>
  <si>
    <t>CONCILIACIÓN SALDOS RELACIONADAS</t>
  </si>
  <si>
    <t>de esta actividad # 29 mi parte ya hice pero dependo de los otros contadores del grupo que me pases los saldos se sus cia a cargo para determinar las diferencias y se pueda revisar. Igual ya esta el correo enviado el dia de hoy. Entonces luego retomaría esta actividad</t>
  </si>
  <si>
    <t>SEGUIMIENTO DEL CIERRE DE MES</t>
  </si>
  <si>
    <t xml:space="preserve">CONCILIACIÓN COSTO DE VENTA EXPORTACIÓN </t>
  </si>
  <si>
    <t xml:space="preserve">ANÁLISIS Y REVISIÓN CUENTAS CONTABLES TSER/TFE </t>
  </si>
  <si>
    <t>RECLASIFICACIÓN RETENCIONES CLIENTES EN FTE TSER</t>
  </si>
  <si>
    <t xml:space="preserve">de  la  actividad #27 CONCILIACIÓN COSTO DE VENTA EXPORTACIÓN, queda hasta aqui, no puedo avanzar mas, dependo de que se cierre liquidaciones para q Andrea Bowen me pueda pasar el costo de fruta
 de esta función # 27 dependo del cierre total mix comercial (q este caso ya esta) +liquidaciones (pendiente) +cxp cierre de registros (q este caso ya esta) </t>
  </si>
  <si>
    <t>CÁLCULO IRU TFE</t>
  </si>
  <si>
    <t xml:space="preserve">DECLARACION MENSUAL DE IMPUESTOS DE TSER </t>
  </si>
  <si>
    <t>REUNIÓN - CÉSAR GUATO</t>
  </si>
  <si>
    <t>ire a una reunion
convocada x cesar</t>
  </si>
  <si>
    <t>hola Jonathan la reunión terminó 12:35 mas o menos
luego llame a mi jefe para resumirle lo de la reunión  aprox unos 20 minutos</t>
  </si>
  <si>
    <t xml:space="preserve">ANEXOS TRANSACCIONALES (ATS) TSER </t>
  </si>
  <si>
    <t xml:space="preserve">COMPARACIÓN PMR </t>
  </si>
  <si>
    <t>REQUERIMIENTOS DE AUDITORIA  CONTABLE</t>
  </si>
  <si>
    <t>esta actividad ya la habia realizado dias anteriores
ya hoy pude culminar porque dependo de otros factores</t>
  </si>
  <si>
    <t xml:space="preserve">CONCILIACIÓN COSTO POR LÍNEA DE NEGOCIO </t>
  </si>
  <si>
    <t>COMEX</t>
  </si>
  <si>
    <t>ASISTENTE DE COMERCIO EXTERIOR</t>
  </si>
  <si>
    <t>ANGIE VILLACRESES</t>
  </si>
  <si>
    <t>CIERRE DE EXPORTACIONES                                                                    ( CMA -  KING OCEAN   ONE -  SEABOARD ) hasta 15 dias posterior al manifiesto de navieras asignadas.</t>
  </si>
  <si>
    <t>podrás notar que para este proceso dependemos mucho de la pagina del ecuapas - senae el cual muchas veces como hoy presenta intermitencia y bota al momento de firmar error y se debe volver hacer
ejemplo hoy y toma mas tiempo , son cosas que pasan en el dia a dia
pero tendre pendiente 1 dae en cierre ya que nos bota error por temas de cupo
y eso toma su tiempo y es un proceso que hace mafer con la aduana cuando ya este el cupo dado yo puedo proceder el cierres ya que se lo comente a mafer ya que ella es la que realiza ese proceso de cupos
son cosas que pasan en el dia a dia</t>
  </si>
  <si>
    <t xml:space="preserve">INGRESO DE FACTURAS (PROVEEDORES COMEX)  TSER </t>
  </si>
  <si>
    <t>14: 30 culmine facturas / suelen llegar en el transcurso de la semana mas facturas</t>
  </si>
  <si>
    <t>DIGITALIZACIONES   ( CMA -  KING OCEAN   ONE -  SEABOARD )</t>
  </si>
  <si>
    <t>no se completo todo lo de la digitalización debido a que la aduana aun no cierra todas las Daes solo 3/6 okis quisas mañana ya esten aprobadas las que faltan
distribución de Walmart fob / este proceso voy a realizar amigo</t>
  </si>
  <si>
    <t>DISTRIBUCIÓN DE WALMART FOB</t>
  </si>
  <si>
    <t xml:space="preserve">INGRESO DE PROFORMAS ( CMA - KING OCEAN - ONE  SEABOARD )  </t>
  </si>
  <si>
    <t>voy a llamar a la naviera a consultar algo de las cargas convencionales
voy a llamar a cma naviera y a risk
estoy en llamada com lis mi jefa
si es por los cierres de banano y daes por lo de cupos y semana 1</t>
  </si>
  <si>
    <t>FACTURAS pendiente la aprobaciones de ayer de parte de mi jefa y lo que este pendiente de hoy</t>
  </si>
  <si>
    <t>DISTRIBUCIÓN DE SEABOARD</t>
  </si>
  <si>
    <t>voy a llamar a consolidacion por informacion de los ingresos</t>
  </si>
  <si>
    <t>IFS NAVIERAS ASIGNADAS</t>
  </si>
  <si>
    <t>CT NAVIERAS ASIGNADAS</t>
  </si>
  <si>
    <t>REDUCCIÓN DE CONTENEDORES NAVIERAS ASIGNADAS</t>
  </si>
  <si>
    <t>SALIDAS AUTORIZADAS                                                                            ( CMA -  KING OCEAN   ONE -  SEABOARD )</t>
  </si>
  <si>
    <t>voy a llamar a la naviera ahorita seboard
llamada con maferisita sobre unas cajas de nuevo peso estoy cojiendo apuntes
es porque han creado un nuevo peso para aperturar daes y eso me esta diciendo que aperture de 40.34 pero ahora de 40.00 libras tambien y estabamos haciendo un ejejmplo para ver si ya refleja los pesos</t>
  </si>
  <si>
    <t xml:space="preserve">OK DE BLS FINALES NAVIERAS  ( CMA - KING OCEAN - ONE  SEABOARD ) </t>
  </si>
  <si>
    <t>voy a llamar a dany por algo del archivo de platanos
en este caso me pasa eso y debo salirme de lo que hago en este caso que eran las aprobaciones para actualizar los cambios que nos da la naviera</t>
  </si>
  <si>
    <t>ELABORACION DE ISF (Naviera USA )</t>
  </si>
  <si>
    <t xml:space="preserve">APERTURAS DE DAES NAVIERAS ASIGNADAS </t>
  </si>
  <si>
    <t>SOPORTE INTRADEPARTAMENTAL</t>
  </si>
  <si>
    <t>Reporte de cierres ( Jenifer) navieras que esten cerradas</t>
  </si>
  <si>
    <t>sigo en ayuda con los proceso de fitoss adjunto evidencia
estoy haciendo de DHL ya termino amigo son cosas del departamento que por temas de teletrabajo nos apoyamos en oficina por los documentos que debemos entregar</t>
  </si>
  <si>
    <t>CIERRE DOCUMENTACIÓN DCP</t>
  </si>
  <si>
    <t>Digitalizaciones wk-47 pendientes de cierres</t>
  </si>
  <si>
    <t>Digitalizaciones wk-48</t>
  </si>
  <si>
    <t>TESORERIA</t>
  </si>
  <si>
    <t>ASISTENTE FINANCIERO</t>
  </si>
  <si>
    <t>ANGELLO SALTOS</t>
  </si>
  <si>
    <t>Realizar pago de proveedores luego de haberse realizado el fondeo</t>
  </si>
  <si>
    <t>Realizar pagos de El Carmen</t>
  </si>
  <si>
    <t>te pongo en contexto, para realizar la tarea #11 necesito tmb saber el consumo de los prov de materiales y mientras espero pues serían tiempos muertos...por esa razón avanzo realizando la tarea #15
por ejemplo, a Josselyn le pido el detalle de pagos por supply y a Karen el consumo de un proveedor. Como podrás observar</t>
  </si>
  <si>
    <t>Registrar pagos de indemnizaciones del seguro</t>
  </si>
  <si>
    <t>Realizar pago de proveedores de supply a través de Cadena de Valor/Banco Pichincha</t>
  </si>
  <si>
    <t>Enviar comprobantes de pagos a proveedores</t>
  </si>
  <si>
    <t>Registro de pagos en MLC, TFE, TSER</t>
  </si>
  <si>
    <t>Registrar pagos Cadena de Valor/Banco Pichincha</t>
  </si>
  <si>
    <t>Tuvo reunión con David Camacho</t>
  </si>
  <si>
    <t>GESTIÓN INTRADEPARTAMENTAL</t>
  </si>
  <si>
    <t>Reunión con David Camacho</t>
  </si>
  <si>
    <t>Conciliar y reportar descuadres en estados de cuenta de las navieras</t>
  </si>
  <si>
    <t>GESTIÓN INTERDEPARTAMENTAL</t>
  </si>
  <si>
    <t>Archivar comprobantes de pagos Banano (fruta - fairtrade- RFA)</t>
  </si>
  <si>
    <t>Realizar pago de puertos por medio del portal del Banco Guayaquil</t>
  </si>
  <si>
    <t>culminé parcialmente tarea 13, pendiente que aprueben y ahi continuo la tarea</t>
  </si>
  <si>
    <t>ANALISTA CARTERA</t>
  </si>
  <si>
    <t>NICOLE NOBOA</t>
  </si>
  <si>
    <t>05/01/2026</t>
  </si>
  <si>
    <t>16:04:29</t>
  </si>
  <si>
    <t>16:23:33</t>
  </si>
  <si>
    <t>REUNIONES</t>
  </si>
  <si>
    <t>PROVEEDORES</t>
  </si>
  <si>
    <t>ENTRADAS</t>
  </si>
  <si>
    <t>SALIDAS</t>
  </si>
  <si>
    <t>CLIENTES</t>
  </si>
  <si>
    <t>REALIZADO</t>
  </si>
  <si>
    <t xml:space="preserve">DANNY </t>
  </si>
  <si>
    <t>CONSOLIDADDO FTL/CONTROL PLÁTANO/ANTICIPO DE PAGO A PRODUCTORES/MAQUILAJE Y PALETIZADO</t>
  </si>
  <si>
    <t>CONTROL PLÁTANO</t>
  </si>
  <si>
    <t>PAGOS A PRODUCTORES/DATOS PARA FACTURACIÓN/DATOS DE LIQUIDACIÓN/DECLARACIÓN DE PLANES DE EMBARQUE PARA COMEX/FACTURACIÓN (MARLYS [REGISTRO DE FACTURAS DE FRUTA]/HAIDEY [FACTURACIÓN DE VENTA Y FACTURACIÓN REEMBOLSOS])</t>
  </si>
  <si>
    <t>COMEX/TESORERIA</t>
  </si>
  <si>
    <t>MARITZA</t>
  </si>
  <si>
    <t>VENTAS DE MATERIALES</t>
  </si>
  <si>
    <t>ANDREA</t>
  </si>
  <si>
    <t>RESULTADOS DE CUENTAS POR COBRAR</t>
  </si>
  <si>
    <t>CESAR VALLE</t>
  </si>
  <si>
    <t>PLANES DE EMBARQUE</t>
  </si>
  <si>
    <t>DESCUENTO DE TRANSPORTE DE MATERIALES</t>
  </si>
  <si>
    <t>DESCRIPCIÓN</t>
  </si>
  <si>
    <t>ELABORACIÓN SEMANAL DE FACTURAS DE BANANO PARA CLIENTES INTERNACIONALES EN MULTINATIONAL, TRABAJANDO CON LOS REPORTES DE TRÁMITES DE LA SEMANA, DETALLE DE CONSOLIDACIÓN EN FTL Y B/LS CON CIERRE SEMANAL CORRESPONDIENTE.</t>
  </si>
  <si>
    <t>FACTURACIÓN A CLIENTES</t>
  </si>
  <si>
    <t>AUTOMATIZACIÓN</t>
  </si>
  <si>
    <t>Cuando se pueden realizar proyectos de mejora para reducir tiempos en actividades.</t>
  </si>
  <si>
    <t>ELABORACIÓN SEMANAL DE FACTURAS DE PLATANO PARA CLIENTES INTERNACIONALES EN MULTINATIONAL, TRABAJANDO CON LOS REPORTES DE TRÁMITES DE LA SEMANA, DETALLE DE CONSOLIDACIÓN EN FTL Y B/LS CON CIERRE SEMANAL CORRESPONDIENTE.</t>
  </si>
  <si>
    <t>Es una entrada no conforme cuando las salidas de un proceso abajo (otro departamento) no envía la información correcta o la envía incompleta, lo cual genera pérdidas de tiempos en las actividades. Se debe colocar en la columna DEPARTAMENTO ENC el Departamento que genera la entrada no conforme.</t>
  </si>
  <si>
    <t>REALIZACIÓN Y ANÁLISIS DE CONCILIACIONES DE VENTAS ENTRE EXPORTADORAS RELACIONADAS PARA VERIFICAR QUE LOS REGISTROS DE VENTAS ESTÉN CUADRADOS, IDENTIFICANDO DIFERENCIAS Y REGISTRANDO AJUSTES CONTABLES NECESARIOS.</t>
  </si>
  <si>
    <t>CONCILIACIÓN DE VENTAS Y COMPRAS ENTRE RELACIONADAS</t>
  </si>
  <si>
    <t>Cuando el colaborador no cuenta con actividades en el horario laboral o realiza actividades que no corresponden al cargo.</t>
  </si>
  <si>
    <t>EMISIÓN DE NOTAS DE CRÉDITOS CLIENTES EN MULTINATIONAL (BANANO Y PLÁTANO)</t>
  </si>
  <si>
    <t>ELABORACIÓN DE NOTAS DE CRÉDITO SEGÚN AJUSTES DE PRECIOS, RECLAMOS DE FRUTAS, DEVOLUCIONES, VERIFICACIÓN DE MONTOS Y CLIENTES, REGISTRO DE LOS ASIENTOS CORRESPONDIENTES EN SAP, Y ACTUALIZACIÓN DE CUENTAS POR COBRAR.</t>
  </si>
  <si>
    <t>NOTAS DE CRÉDITO CLIENTES</t>
  </si>
  <si>
    <t>FALLO IT</t>
  </si>
  <si>
    <t>Cuando el sistema no permite que el colaborador avance con sus actividades debido a que no puede utilizar su computadora personal.</t>
  </si>
  <si>
    <t xml:space="preserve">ELABORACIÓN SEMANAL DE FACTURAS DE BANANO PARA CLIENTES INTERNACIONALES EN MULTINATIONAL, TRABAJANDO CON LOS REPORTES DE TRÁMITES DE LA SEMANA, DETALLE DE CONSOLIDACIÓN EN FTL Y B/LS, FACTURACIÓN SE REALIZA 21 DÍAS DESPUES DEL ZARPE DE LA CARGA </t>
  </si>
  <si>
    <t>CAPACITACIÓN</t>
  </si>
  <si>
    <t>Cuando un colaborador carece de expertiz en el desarrollo de una actividad como el uso de una herramienta técnológica o de comunicación.</t>
  </si>
  <si>
    <t>ELABORACIÓN DE CERTIFICADOS PARA PRODUCTORES SEGÚN LOS MESES SOLICITADOS, INCLUYENDO EL DETALLE DE DAE, NÚMERO DE FACTURA DE VENTA, CANTIDAD DE CAJAS EXPORTADAS, FECHA DE CIERRE DE LAS DAE, VALOR TOTAL EN USD Y FACTURA DE COMPRA DEL PROVEEDOR.</t>
  </si>
  <si>
    <t>EMISIÓN CERTIFICADOS</t>
  </si>
  <si>
    <t>Cuando el colaborador se encuentre realizando actividades que corresponden al cargo sin ningun tipo de retraso alguno.</t>
  </si>
  <si>
    <t xml:space="preserve">REVISIÓN, GESTIÓN Y CONTROL DEL FLUJO DE CUENTAS POR PAGAR (INVOICES-MLC) MULTINATIONAL  </t>
  </si>
  <si>
    <t>REGISTRO Y ANÁLISIS DE FACTURAS DE PROVEEDORES DEL EXTERIOR EN EL SISTEMA CONTABLE, SEGÚN APROBACIÓN DEL EQUIPO COMERCIAL, INCLUYENDO FACTURAS DE INSPECCIONES ADICIONALES A CONTENEDORES EXPORTADOS, YA SEA DE FORMA SEMANAL O MENSUAL (PROVEEDORES COMO SEABOARD, J&amp;K, LARAS TRUCKING, RENE VELASQUEZ, HPL APOLLO, ETC.), VERIFICACIÓN Y ANÁLISIS DE DATOS Y MONTOS.</t>
  </si>
  <si>
    <t>CONTROL CUENTAS POR PAGAR</t>
  </si>
  <si>
    <t>Inducción del muestreo de funciones a realizar en el balance de cargas de trabajo.</t>
  </si>
  <si>
    <t>REGISTRO Y ANÁLISIS DE ASIENTOS DE DIARIO O DE RECLASIFICACIÓN EN CUENTAS POR COBRAR DE EMPLEADOS POR DESCUENTOS INDICADOS POR EL ÁREA DE RRHH, VERIFICANDO LA CONSISTENCIA DE MONTOS, CLASIFICACIÓN CONTABLE CORRECTA</t>
  </si>
  <si>
    <t>DESCUENTOS DE NÓMINA</t>
  </si>
  <si>
    <t>Servicios de alimentación</t>
  </si>
  <si>
    <t>ANALISIS Y CONCILIACION DE CUENTAS CONTABLES MENSUALES</t>
  </si>
  <si>
    <t>REALIZAR EL ANÁLISIS DETALLADO DE LAS CUENTAS CONTABLES MENSUALES, COMPARANDO SALDOS Y MOVIMIENTOS PARA IDENTIFICAR DISCREPANCIAS.</t>
  </si>
  <si>
    <t>ANÁLISIS DE CUENTAS</t>
  </si>
  <si>
    <t>CONCILIACION DE COMPRAS, VENTAS, SALDOS EN CUENTAS POR COBRAR ENTRE COMPAÑÍAS RELACIONADAS</t>
  </si>
  <si>
    <t>REALIZAR LA CONCILIACIÓN DE COMPRAS, VENTAS Y SALDOS EN CUENTAS POR COBRAR ENTRE COMPAÑÍAS RELACIONADAS, VERIFICANDO LA COHERENCIA DE LOS REGISTROS CONTABLES, DETECTANDO DIFERENCIAS Y REGISTRANDO LOS AJUSTES NECESARIOS</t>
  </si>
  <si>
    <t>CONCILIACIÓN RELACIONADAS</t>
  </si>
  <si>
    <t>ELABORAR REPORTERÍA FINANCIERA MENSUAL PARA ELABORACIÓN DE BALANCES.</t>
  </si>
  <si>
    <t>REPORTERÍA</t>
  </si>
  <si>
    <t>REALIZAR REPORTE, ANALISIS, COMPARACIÓN Y REVISIÓN DE LA INFORMACIÓN RECIBIDA POR CORREO DEL ÁREA FINANCIERA, VERIFICANDO QUE LO DECLARADO A COFACE COINCIDA CON LAS VENTAS REGISTRADAS EN LA CONTABILIDAD POR CLIENTE EN MULTINATIONAL.</t>
  </si>
  <si>
    <t>ANÁLISIS DE VENTAS</t>
  </si>
  <si>
    <t>PROPORCIONAR SOPORTE EN AUDITORÍAS TRIBUTARIAS, DE CARBONO NEUTRO Y OTROS PROCESOS DE CONTROL FINANCIERO.</t>
  </si>
  <si>
    <t>SOPORTE AUDITORÍA</t>
  </si>
  <si>
    <t>ASISTENCIA TÉCNICA EN LA DETERMINACION DE RETENCIONES TRIBUTARIAS</t>
  </si>
  <si>
    <t>BRINDAR ASISTENCIA TÉCNICA EN LA DETERMINACIÓN DE RETENCIONES TRIBUTARIAS A LOS PRVOEEDORES, INCLUYENDO CÁLCULO SEGÚN NORMATIVA VIGENTE.</t>
  </si>
  <si>
    <t>ASISTENCIA EN IMPUESTO TRIBUTARIO</t>
  </si>
  <si>
    <t>SE REALIZA LA GESTIÓN CONTABLE Y CLASIFICACIÓN DE CUENTAS FINANCIERAS, MEDIANTE LA REVISIÓN, ANÁLISIS Y REGISTRO DE LOS MOVIMIENTOS CONTABLES EN EL SISTEMA. SE CLASIFICAN LAS TRANSACCIONES SEGÚN SU NATURALEZA (ACTIVOS, PASIVOS, INGRESOS Y GASTOS)</t>
  </si>
  <si>
    <t>SE EJECUTA LA GESTIÓN DE REPOSICIÓN Y CONTROL DE CAJA CHICA, MEDIANTE LA REVISIÓN DE COMPROBANTES DE GASTO, VALIDACIÓN DE SOPORTES Y REGISTRO CONTABLE DE LOS MOVIMIENTOS EFECTUADOS. SE VERIFICA QUE LOS GASTOS SE ENCUENTREN DENTRO DE LAS POLÍTICAS INTERNAS Y SE PREPARA LA SOLICITUD DE REPOSICIÓN CORRESPONDIENTE.</t>
  </si>
  <si>
    <t>CONTROL DE CAJA CHICA</t>
  </si>
  <si>
    <t>APOYO EN DECLARACIONS, ATS Y ANEXOS</t>
  </si>
  <si>
    <t>SE BRINDA APOYO EN LA ELABORACIÓN DE DECLARACIONES TRIBUTARIAS, ATS Y ANEXOS, MEDIANTE REPORTERÍA Y REVISIÓN DE INFORMACIÓN CONTABLE, VALIDANDO LOS DATOS REGISTRADOS EN EL SISTEMA.</t>
  </si>
  <si>
    <t>SOPORTE SRI</t>
  </si>
  <si>
    <t>SUPERVISIÓN DE CIERRE CONTABLE EN CUENTAS POR PAGAR MENSUAL Y ANUAL</t>
  </si>
  <si>
    <t>SE EJECUTA LA SUPERVISIÓN Y EJECUCIÓN DEL CIERRE CONTABLE MENSUAL Y ANUAL DE LAS CUENTAS POR PAGAR, REVISANDO LOS REGISTROS DE FACTURAS DE COMPRA, RETENCIONES Y FACTURAS DE VENTA, ASÍ COMO LAS RECLASIFICACIONES NECESARIAS PARA MANTENER CORRECTA CONTABILIZACION DE GASTOS.</t>
  </si>
  <si>
    <t>SUPERVISIÓN EN CIERRE</t>
  </si>
  <si>
    <t>SE REALIZA LA CREACIÓN Y ACTUALIZACIÓN DE ARTÍCULOS Y CUENTAS CONTABLES DE BIENES O SERVICIOS  EN SAP, SEGÚN LOS REQUERIMIENTOS DE LAS DEMÁS ÁREAS.</t>
  </si>
  <si>
    <t>CREACIÓN DE ARTÍCULOS</t>
  </si>
  <si>
    <t>REVISION Y ANALISIS DE CUENTAS INGRESOS, COSTOS Y GASTOS</t>
  </si>
  <si>
    <t>SE REVISA Y ANALIZA LA INFORMACIÓN DE LAS CUENTAS DE INGRESOS, COSTOS Y GASTOS, VERIFICANDO QUE LOS REGISTROS CONTABLES ESTÉN CORRECTOS Y RESPALDADOS CON SU DOCUMENTACIÓN. SE COMPARAN LOS VALORES ENTRE PERIODOS Y SE IDENTIFICAN DIFERENCIAS PARA REALIZAR LOS AJUSTES O RECLASIFICACIONES NECESARIAS.</t>
  </si>
  <si>
    <t>SE REVISA Y CONTROLA LA INFORMACIÓN DE LAS CUENTAS POR PAGAR DE LAS EXPORTADORAS, VERIFICANDO QUE LAS FACTURAS DE COMPRA Y GASTOS OPERATIVOS ESTÉN CORRECTAMENTE REGISTRADOS, APROBADOS Y RESPALDADOS. SE REALIZAN SEGUIMIENTOS A LOS PROVEEDORES Y SE CONFIRMA QUE LOS VALORES COINCIDAN CON LOS REGISTROS CONTABLES.</t>
  </si>
  <si>
    <t xml:space="preserve">ANALISIS DE VENTAS CIF Y DDP MENSUALES </t>
  </si>
  <si>
    <t>SE REALIZA EL ANÁLISIS MENSUAL DE LAS VENTAS CIF Y DDP EN MULTINATIONAL, REVISANDO QUE LAS FACTURAS ESTÉN CORRECTAMENTE EMITIDAS Y REGISTRADAS EN EL SISTEMA CONTABLE. SE COMPARAN LOS VALORES FACTURADOS CON LOS REPORTES DE EXPORTACIÓN Y SE IDENTIFICAN DIFERENCIAS O AJUSTES</t>
  </si>
  <si>
    <t>SE REALIZAN RECLASIFICACIONES CONTABLES Y AJUSTES MENSUALES SEGÚN LAS OBSERVACIONES DEL ÁREA CONTABLE O AUDITORÍA, CORRIGIENDO REGISTROS MAL CLASIFICADOS O INCONSISTENCIAS DETECTADAS.</t>
  </si>
  <si>
    <t>VERIFICACIÓN Y CONTROL DE DOCUMENTOS DE RESPALDO CONTABLE</t>
  </si>
  <si>
    <t>SE REVISA Y VERIFICA QUE TODOS LOS DOCUMENTOS DE RESPALDO CONTABLE, COMO FACTURAS DE COMPRA (ELECTRÓNICAS O FÍSICAS) ESTÉN CORRECTAMENTE ARCHIVADAS Y VINCULADAS A LOS REGISTROS EN EL SISTEMA. SE CONTROLA QUE LA INFORMACIÓN SEA LEGIBLE, COMPLETA Y COINCIDA CON LOS ASIENTOS CONTABLES REALIZADOS.</t>
  </si>
  <si>
    <t>ELABORACIÓN Y REVISIÓN DE PROVISIONES MENSUALES EN MULTINATIONAL</t>
  </si>
  <si>
    <t>SE ELABORAN Y REVISAN LAS PROVISIONES MENSUALES, CALCULANDO LOS MONTOS SEGÚN LOS INGRESOS PENDIENTES DE FACTURAR AL CIERRE DE MES.</t>
  </si>
  <si>
    <t>IMPLEMENTACIÓN DE MEJORAS EN PROCESOS CONTABLES</t>
  </si>
  <si>
    <t>SE IDENTIFICAN OPORTUNIDADES DE MEJORA EN LOS PROCESOS CONTABLES, ANALIZANDO FLUJOS DE TRABAJO, DETECCIÓN DE ERRORES Y RETRASOS. SE PROPONEN Y APLICAN AJUSTES O NUEVAS METODOLOGÍAS PARA RESOLUCION DE PROBLEMAS SURGEN EN LA PARTE CONTABLE.</t>
  </si>
  <si>
    <t>MEJORA CONTINUA</t>
  </si>
  <si>
    <t>SE BRINDA CAPACITACIÓN Y ASISTENCIA EN EL USO DE SAP A OTROS DEPARTAMENTOS, EXPLICANDO PROCESOS CONTABLES, FUNCIONALIDADES DEL SISTEMA Y PROCEDIMIENTOS PARA EL REGISTRO.</t>
  </si>
  <si>
    <t>SOPORTE CONTABLE</t>
  </si>
  <si>
    <t>SOPORTE EN ELABORACIÓN DE ATS</t>
  </si>
  <si>
    <t>REALIZAR LAS CORRECCIONES SOLICITADAS POR EL CONTADOR PARA LA ELABORACIÓN Y PRESENTACIÓN DEL ATS</t>
  </si>
  <si>
    <t>REUNIONES Y COMITÉS</t>
  </si>
  <si>
    <t>SE PARTICIPA EN REUNIONES Y COMITÉS, DISCUTIENDO ASUNTOS CONTABLES Y COORDINANDO ACCIONES CON OTROS DEPARTAMENTOS PARA DAR SEGUIMIENTO A PROCESOS, AJUSTES Y REPORTES CONTABLES.</t>
  </si>
  <si>
    <t>LIQUIDACIÓN DE GASTOS</t>
  </si>
  <si>
    <t>PROCESO DE MICCIÓN Y AGREGADOS</t>
  </si>
  <si>
    <t>ALIMENTARSE</t>
  </si>
  <si>
    <t>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t>
  </si>
  <si>
    <t>RECEPCIÓN DE SOLICITUD DE TRANSPORTE</t>
  </si>
  <si>
    <t>REVISIÓN KILOMETRAJE DE LOS VEHÍCULOS DE SMART DE LA SEMANA ANTERIOR.</t>
  </si>
  <si>
    <t>CONSOLIDACIÓN</t>
  </si>
  <si>
    <t>REVISIÓN DE CAMBIOS. LISTA DE ACOPIOS.</t>
  </si>
  <si>
    <t>RENOVACIÓN DE DOCUMENTOS DE VEHÍCULOS EN PUERTOS</t>
  </si>
  <si>
    <t>CONTROL DOCUMENTAL DE LA FLOTA</t>
  </si>
  <si>
    <t>REVISAR SI HAY ALGÚN CAMBIO QUE HAYA HECHO TROPICAL.
TODO CAMBIO DEBE REPORTARSE EN EL GRUPO DE FALLAS VÍA WHATSAPP.</t>
  </si>
  <si>
    <t>CON RESPECTO AL DÍA ANTERIOR.</t>
  </si>
  <si>
    <t>CONTROL DEL CUMPLIMIENTO DE LA CADENA DE FRÍO</t>
  </si>
  <si>
    <t>GESTIÓN DE LA PLANIFICACIÓN</t>
  </si>
  <si>
    <t>CONTROL DOCUMENTAL DE PROVEDURÍA</t>
  </si>
  <si>
    <t>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t>
  </si>
  <si>
    <t>Envío de reporte de transporte para facturación</t>
  </si>
  <si>
    <t>Realizar el envío del reporte de viajes al área de Contabilidad TFE, con el fin de que se efectúe la correspondiente facturación.</t>
  </si>
  <si>
    <t>FACTURACIÓN</t>
  </si>
  <si>
    <t>Realizar el control y seguimiento de los soportes físicos y escaneados de los viajes, en coordinación con los responsables de garita, para el envío al cliente OLAM. la validación documental final es efectuada por melanie villa.</t>
  </si>
  <si>
    <t>GESTIÓN DOCUMENTAL</t>
  </si>
  <si>
    <t>Realizar el control y seguimiento de los soportes pendientes de recepción, coordinar con los transportistas la remisión de los documentos faltantes. En los casos en que no se obtenga respuesta por parte del transportista, remitir el archivo actualizado de soportes pendientes a oscar ortega para su conocimiento y seguimiento. La validación documental final es realizada por melanie villa.</t>
  </si>
  <si>
    <t>Realizar la creación de nuevos proveedores, creación de nuevos artículos solicitados por los departamentos establecidos.</t>
  </si>
  <si>
    <t>CREACIÓN SAP</t>
  </si>
  <si>
    <t>Control y seguimiento de caja chica</t>
  </si>
  <si>
    <t>Realizar el control y seguimiento de los registros de caja chica en el sistema sap, verificando que coincidan con los documentos físicos de respaldo y archivar de manera ordenada.</t>
  </si>
  <si>
    <t>CAJA CHICA</t>
  </si>
  <si>
    <t>Verificar la correcta anulación de las retenciones registradas en sap, posterior a la anulación en el sistema, se efectúe la solicitud correspondiente en el portal del sri, garantizando la coherencia entre ambas plataformas y la trazabilidad del proceso contable.</t>
  </si>
  <si>
    <t>RETENCIONES</t>
  </si>
  <si>
    <t>Elaboración y envío de reporte de ventas de empresas relacionadas</t>
  </si>
  <si>
    <t>Elaborar y consolidar el reporte de ventas correspondiente a las empresas relacionadas, clasificando la información por tipo de carga (banano y plátano).</t>
  </si>
  <si>
    <t>Elaborar, actualizar y gestionar el listado y la documentación de los conductores y transportistas tercerizados, verificando el cumplimiento de los requisitos y estándares establecidos por la auditoría basc. asegurar que toda la información se mantenga vigente.</t>
  </si>
  <si>
    <t>Realizar y enviar de detalle de valores semanales a los que aplica, facturación de Grupo Noboa en SAP, envío de facturas por correo electronico</t>
  </si>
  <si>
    <t>LIQUIDACIÓN</t>
  </si>
  <si>
    <t>Devoluciones a productores, generación de notas de crédito, entre varios casos</t>
  </si>
  <si>
    <t xml:space="preserve">Emisión de Facturas de Reembolso </t>
  </si>
  <si>
    <t>Facturas de reembolso mensuales (Cedillo, Farletza)</t>
  </si>
  <si>
    <t>REEMBOLSO</t>
  </si>
  <si>
    <t>Emitir y controlar la facturación de los valores asumidos por MLC</t>
  </si>
  <si>
    <t>Facturación de valores que asume MLC por parte del grupo Noboa</t>
  </si>
  <si>
    <t>Explicación personalizada de facturaciones a productores vía telefónica, email, whatsapp, entre otros medios</t>
  </si>
  <si>
    <t>Revisión semanal de la base de activos</t>
  </si>
  <si>
    <t>Revisión, actualización de base de activos por cambios semanales (Archivo Oscar)</t>
  </si>
  <si>
    <t>Creación de activos nuevos en SAP</t>
  </si>
  <si>
    <t>Creación de activos nuevos en SAP para proceder con la facturación</t>
  </si>
  <si>
    <t>Gestionar facturación de importaciones</t>
  </si>
  <si>
    <t>Facturacion de importaciones solicitadas por Lizbeth (Incluye generación de guias de remisión en relación por cada viaje)</t>
  </si>
  <si>
    <t>Emisión de notas de crédito y refacturaciones por atmosfera y COI</t>
  </si>
  <si>
    <t>Refacturaciones varias por temas de productores en último momento (Emisiones de notas de creditos y refacturaciones a multinational)</t>
  </si>
  <si>
    <t>Revisión, solicitud de creación y corrección de guias y facturacion de contenedores del Reporte de viajes</t>
  </si>
  <si>
    <t>Análisis y revisión del reporte de cobro de contenedores (Andrea Bowen) a productores directos y por medio de liquidación BANANO-aplicación de criterios</t>
  </si>
  <si>
    <t>Elaboración de informe de facturacion de contenedores, emisión de notas de credito por roleos y costos TFE, refacturaciones semanales de contenedores de productores varios y MLC</t>
  </si>
  <si>
    <t>Revisión y control de reporte de cobro de materiales junto con Ricardo Salinas para envio a (Andrea Bowen) y elaboración de guías de remisión, para proceder con la facturación</t>
  </si>
  <si>
    <t>Revisión de soportes del cliente de Transgomez, Scaner y orden de facturación y guias para envío.</t>
  </si>
  <si>
    <t>Analisis y revision del reporte de movimiento de fruta y bajo cubierta junto con Ricardo Salinas para envio a (Andrea Bowen) y elaboración de guías de remisión, para proceder con la facturación</t>
  </si>
  <si>
    <t>Revisión, actualización de base de facturación de hapag en consolidado de facturacion</t>
  </si>
  <si>
    <t>Elaborar y actualizar el consolidado semanal de viajes, integrando la información de los diferentes reportes de transporte.</t>
  </si>
  <si>
    <t>Elaboración de plantillas y guias en SAP de retiros de contenedores, se enviá la factura mediante correo adjuntando el soporte (statement) y en SAP se procede a reclasificar por semanas</t>
  </si>
  <si>
    <t>Reuniones semanales para revisar rubros a cobrar a productores y MLC.</t>
  </si>
  <si>
    <t xml:space="preserve">Reunión para revisión semanal de rubros a cobrar a productores y MLC con Hector Salinas </t>
  </si>
  <si>
    <t>Envío de detalle de facturación de empresas relacionadas, Marly Villamar</t>
  </si>
  <si>
    <t>Emisión de facturación intereses Tfe</t>
  </si>
  <si>
    <t>Facturacion de intereses mensuales</t>
  </si>
  <si>
    <t>Revisión general de guias abiertas y devueltas</t>
  </si>
  <si>
    <t>Verificar y conciliar la información del libro mayor con los reportes de viajes correspondientes a los diferentes servicios de transporte, asegurando la coherencia de los valores registrados y cuentas contables.</t>
  </si>
  <si>
    <t>REVISIÓN DE MAYOR DEL MES DE LA CUENTA DE SEGUROS POR AMORTIZAR CON LA FINALIDAD DE REVISAR  SI EXISTEN NUEVOS REGSITROS QUE DEBEN INCLUIRSE EN EL ANEXO DE SEGURO , LUEGO SE PROCEDE CON EL REGSITRO DE LA AMORTIZACION EN SAP</t>
  </si>
  <si>
    <t>SE BAJA EL MAYOR DEL MES DE LA CUENTA INTANGIBLES SE REALIZA LA REVISIÓN DE LOS REGISTROS Y POSTERIOR LA  CONTABILIZACIÓN EN SAP.</t>
  </si>
  <si>
    <t>EL CONTADOR ME ENVÍA EL ARCHIVO PARA LA CONTABILIZACIÓN Y PROCEDO ARMAR LAS PLANTILLAS DE CABECERA Y DETALLES EN EXCEL PARA LUEGO CARGARLO EN SAP POR MEDIO DE DATA TRANSFER WORKBENCH</t>
  </si>
  <si>
    <t>CORRESPONDE AL REGSITRO DE ASIENTO DE DIARIO PARA CORRECCIONES DE CUENTAS MAL APLICADAS AUTORIZADA POR EL CONTADOR/CONTADOR GENERAL</t>
  </si>
  <si>
    <t xml:space="preserve">REGISTRO DE AMORTIZACIÓN DE CUENTAS TSER/TFE </t>
  </si>
  <si>
    <t>CORRESPONDE A LOS REGISTROS DE LOS VALORES QUE SE DEBEN AMORTIZAR PREVIA AUTORIZACIÓN DE CONTADOR/CONTADOR GENERAL</t>
  </si>
  <si>
    <t>AMORITZACIONES</t>
  </si>
  <si>
    <t>AUDITORIAS VARIAS SOPORTE  (OTRAS)</t>
  </si>
  <si>
    <t>SEGÚN NECESIDAD DE LA EMPRESA DOY SOPORTE A LOS REQUERIEMIENTOS SOLICITADOS COMO POR EJEMPLO LLENADO DE FORMATOS EN AUDITORIA FAIRTRADE, MAGAP.</t>
  </si>
  <si>
    <t>SE REALIZA LA BAJA CON NOTA DE CREDITO INTERNA PROVEEDOR PRATT, HACIENDO UNA REVISIÓN DEL STOCK UTILIZADO DEL INVENTARIO POR LO CUAL SE PROCEDE A REVISAR EL KARDEX</t>
  </si>
  <si>
    <t xml:space="preserve">DESMONTE OF TFE  </t>
  </si>
  <si>
    <t>CUANDO HAY UN ERROR OPERATIVO POR ASIGNACIÓON CAJAS Y CLIENTES SE HACE EL DESMONTE, LO CUAL EL AREA DE SUPPLY INDICA LOS # DE OF . ESTO INCLUYE EMISIÓN, RECIBO,</t>
  </si>
  <si>
    <t>INGENIERÍA INVERSA</t>
  </si>
  <si>
    <t>CREACION DE CALENDARIO BANANERO SAP</t>
  </si>
  <si>
    <t>CADA INICIO DE AÑO SE PROCEDE A LA CREACION DE LAS SEMANAS BANANERA EL CUAL CONSITE EN COLOCAR MANUALMENTE EN SAP LOS RANGOS DE INICIO Y FIN DE C/SEMANA (1 AL 52)</t>
  </si>
  <si>
    <t>CREACIÓN CALENDARIO</t>
  </si>
  <si>
    <t>CREACION DE PERIODO FISCAL SAP</t>
  </si>
  <si>
    <t>CONSISTE EN APERTURAR EL AÑO FISCAL EN EL SISTEMA SAP, CON ELLO SE PUEDE TRANSACCIONAR TODAS LAS AREAS</t>
  </si>
  <si>
    <t>CREACIÓN PERIOSO FISCAL</t>
  </si>
  <si>
    <t xml:space="preserve">REVALORIZACIÓN DE INVENTARIO </t>
  </si>
  <si>
    <t>CUANDO UN ARTÍCULO INVENTARIADO NO POSEE COSTO EL AREA DE SUPPLY SOLICITA LA REASIGNACION DEL COSTO EN EL CUAL ELLOS PASAN UN DETALLE QUE DEBE CONTENER (ALMACÉN,PRECIO, ARTÍCULO)</t>
  </si>
  <si>
    <t>REASIGNACIÓN VALORES</t>
  </si>
  <si>
    <t xml:space="preserve">ANEXO REPORTE DE INVENTARIO TFE </t>
  </si>
  <si>
    <t>SE PROCEDE A BAJAR EL REPORTE DE STOCK DE INVENTARIO CON SU CUENTA MAYOR, EL CUAL DEBE SER COMPARABLE CON LOS SALDOS ACUMULADOS CADA MES. CON ELLO SE DETECTA LAS DIFERENCIAS ENTRE REPORTE Y BALANCE.</t>
  </si>
  <si>
    <t xml:space="preserve">INACTIVACION DE CUENTAS CONTABLES TFE/TSER: </t>
  </si>
  <si>
    <t>DEPENDIENDO LA NECESIDAD OPERATIVA PREVIA AUTORIZACIÓN DEL CONTADOR SE DESACTIVA EN EL RANGO DE FECHA INDICADA EN EL SISTEMA SAP.</t>
  </si>
  <si>
    <t>INACTIVACIÓN CUENTAS</t>
  </si>
  <si>
    <t xml:space="preserve">CREACION DE CENTRO DE COSTOS TFE/TSER: </t>
  </si>
  <si>
    <t>DEPENDIENDO LA NECESIDAD OPERATIVA PREVIA AUTORIZACIÓN DEL CONTADOR SE PROCEDE A CREAR  EN EL SISTEMA SAP.</t>
  </si>
  <si>
    <t>CREACIÓN CENTRO DE COSTOS</t>
  </si>
  <si>
    <t>DEPENDIENDO LA NECESIDAD OPERATIVA EL CONTADOR ME INDICA MEDIANTE CORREO LAS CUENTAS QUE DEBEN CREARSE EN EL PLAN DE CUENTAS.</t>
  </si>
  <si>
    <t>CREACIÓN CUENTAS CONTABLES</t>
  </si>
  <si>
    <t xml:space="preserve"> EL CONTADOR NOS ASIGNÓ CUENTAS PARA EL RESPECTIVO ANÁLISIS EL CUAL TENEMOS QUE COLOCAR LA INFORMACIÓN EN LA RUTA DE GERENTE FINANCIERO.</t>
  </si>
  <si>
    <t>SE PROCEDE CON LA ELABORACION DE LA DECLARACION DESPUES DEL CIERRE DE CUENTAS POR PAGAR Y FACTURACION A CLIENTES ,UNA VEZ CERRADO EL MES SE BAJAN LOS REPORTES  DE VENTAS PARA LA RESPECTIVA REVISION DE IGUAL FORMA CON  LA BASE DE COMPRAS Y RETENCIONES , SE RELAIZA LA CUADRATRURA CON EL MAYOR CONTABLE DE LAS CUENTAS DE IMPUESTOS ,LUEGO SE PROCEDE CON EL  REGISTRO DE ASIENTO DE DIARIO DE COMPENSACION DEL IVA COBRADO , REGISTRO DE RECLASIFICACION DE LAS CUENTAS DE RETENCIONES POR PAGAR IR Y IVA , SOLICITUD DE FONDEO A FINANCIERO , POSTERIOR SE REALIZA EL ENVIO EN LA FECHA DE VENCIMIENTO ANTE EL SRI</t>
  </si>
  <si>
    <t>DECLARACIÓN IMPUESTOS</t>
  </si>
  <si>
    <t>GENERACIÓN DEL ANEXO EL CUAL SE DESCARGA DE SAP, SE REALIZA EL ANÁLISIS Y REVISIÓN DE CADA RUBRO( PORCENTAJES DE RETENCIONES, MONTO DE VENTAS EXPORTACION,MONTOS DE COMPRAS) DEBE SER IGUAL AL FORMULARIO 104-103 DE LA DECLARACIÓN</t>
  </si>
  <si>
    <t xml:space="preserve">DEVOLUCION DE IVA EXPORTADOR TSER (BASES) </t>
  </si>
  <si>
    <t>POSTERIOR A LA DECLARACIÓN DE IMPUESTOS SE EMPIEZA CON LA REVISIÓN DE LAS BASES DE COMPRAS DONDE SE VERIFIQUE QUE CUADRE CON LO DECLARADO. CONSIDERAR QUE SE ARMA PLANTILLA PARA LLENAR CORRECTAMENTE EL LISTADO DE ADQUISICIONES LOCALES E IMPORTACIONES PARA DEVOLUCIÓN DEL IVA A EXPORTADORES DE SERVICIOS Y EL LISTADO DE EXPORTACIONES DEL MES. FINALMENTE EL CONTADOR REVISA EL BORRADOR PREVIO EN VÍO AL SRI</t>
  </si>
  <si>
    <t>DEVOLUCIONES IVA</t>
  </si>
  <si>
    <t xml:space="preserve">DEVOLUCION DE IVA RETENCIÓN DE CLIENTES TSER  </t>
  </si>
  <si>
    <t xml:space="preserve">SE REALIZA EL PROCESO CUMPLIENDO CON LOS REQUISITOS SOLICITADOS POR EL SRI </t>
  </si>
  <si>
    <t xml:space="preserve">SOPORTE ENDOSO NC DESMATERIALIZA SRI TSER  </t>
  </si>
  <si>
    <t>CON  PREVIA APROBACIÓN DEL CONTADOR AYUDO A REALIZAR EL PROCESO DE ENDOSO.</t>
  </si>
  <si>
    <t>ENDOSO NC</t>
  </si>
  <si>
    <t>ELABROACION DE INFORMACION REQUERIDA POR AUDITORIA EXTERNA. (DEPENDE LA DISTRIBUCIÓN DE ITEMS INDICADOS POR EL CONTADOR)</t>
  </si>
  <si>
    <t xml:space="preserve">DECLARACION  ANUAL FORMULARIO 101 TSER </t>
  </si>
  <si>
    <t>ELABORACION DE LA DELCARACION DE IMPUESTOS A LA RENTA A LAS SOCIEDADES EN BORRADOR PARA LA RESPECTIVA REVISIÓN Y APROBACIÓN DEL CONTADOR.</t>
  </si>
  <si>
    <t xml:space="preserve">ELABORACION DE ESTADOS FINANCIEROS PARA ENVIO A LA SUPER DE COMPAÑIAS DE TSER </t>
  </si>
  <si>
    <t>PREPARACIÓN DE PAPELES DE TRABAJO PARA LA REVISIÓN Y APROBACIÓN DEL CONTADOR.</t>
  </si>
  <si>
    <t xml:space="preserve">ELABORACIÓN ANEXO ICT TSER (BORRADOR) </t>
  </si>
  <si>
    <t>PREVIA INTRUCCIÓN DEL CONTADOR ELABORO EL ANEXO ICT, UNA VEZ REALIZADO LO ENVÍO AL CONTADOR PARA LA RESPECTIVA REVISIÓN.</t>
  </si>
  <si>
    <t>OTROS ANEXOS SRI</t>
  </si>
  <si>
    <t>ELABORACIÓN DE ANEXOS ANUALES ADI,REDEFICP,ACCIONISTAS</t>
  </si>
  <si>
    <t>SEGMENTACIÓN POR FRUTA Y MATERIALES SE PROCEDE A BAJAR DE SAP EL QUERY MOVIMIENTO DE OF DONDE ESTÁ TODO LA INFORMACIÓN DE  ENTRADA; DEVOLUCIÓN; ENTREGA; EMISIÓN; RECIBO; FACTURA EN DONDE LOS DOCUMENTOS DE EMISIÓN GENERADOS POR LOS CONSUMOS  SE REVISAN CON EL MAYOR CON LOS COSTOS DE EXPORTACION LUEGO DEL RESPECTIVO CUADRE SE PROCEDE HACER EL DIARIO EN SAP</t>
  </si>
  <si>
    <t>CONCILIACIÓN</t>
  </si>
  <si>
    <t>SEGMENTACIÓN COSTOS POR FRUTA Y MATERIALES SEGÚN LINEA DE NEGOCIO DEBE DE CUADRAR CON SAP, SE REALIZA POST CONCILIACIÓN COSTO DDE VENTAS.</t>
  </si>
  <si>
    <t xml:space="preserve"> TIENE COMO FINALIZADAD CUADRAR LOS SALDOS ENTRE CIAS LO CUAL EN SAP SE BAJA EL REPORTE  CONCILIACIÓN RELACIONADAS DETALLE EN LAS EMPRESAS TFE/TSER/MLC DONDE SE HACE EL ANÁLISIS Y REVISION DE LAS CXP Y CXC  MODULOS Y NO MODULOS. CADA CONTADOR ES ENCARGADO DE ENVIAR SUS SALDOS DE LAS CIA A CARGO PARA PROCEDER ACTUALIZAR EN LA PLANTILLA </t>
  </si>
  <si>
    <t>SE COMPARTE A LOS CONTADORES LOS VENCIMIENTOS TRIBUTARIOS/INTERNOS DEL MES EJEMPLO (IMPUESTOS,ANEXOS,CONTRIBUCIONES ), SE REALIZA LA VERIFICACIÓN DE LA CARGA EN EL SRI, SUPER CÍAS</t>
  </si>
  <si>
    <t>ACTUALMENTE DE IMPORTA (ETIQUETAS, GAVETAS IFCO Y ALDIS) EL PROCESE ES BAJAR EL MAYOR DE LA CUENTA DE IMPORTACIONES EN TRÁNSITO Y SE REVISA LA LIQUIDACION ENVIADA POR COMEX DONDE SE PROCEDE CON LA REVISIÓN DE TODOS LOS COSTOS ASOCIADOS ENTEN REGISTRADOS CORRECTAMENTE YA QUE HAY CASOS QUE NO ESTAN Y SE PROCEDE A RECLASIFICAR, POSTERIOR SE HACE LA REVALORIZACIÓN EN SAP DEL ARTÍCULO Y TAMBIEN EL ASIENTO DANDO DE BAJA LA CUENTA. FINALMENTE ESTA LA CUENTA DEBEN DE QUEDAR UNICAMENTE LOS COSTOS DE LAS IMPORTACIONES PRÓXIMAS A LLEGAR.</t>
  </si>
  <si>
    <t xml:space="preserve"> LUEGO DE LA CONFIRMACIÓN DEL CIERRE CXC SE PROCEDE A BAJAR LOS REPORTE PARA EL RESPETIVA ANÁLISIS Y REVISIÓN DEL VALOR A PAGAR DEL MES, EL CUAL SE BASA EN EL CUADRE DE LAS VENTAS CONTABLIDAD VS REPORTE  DE LAS CATEGORIA DE BANANO, PLÁTANO, OTROS CON EL ESTADO DE RESULTADOS.</t>
  </si>
  <si>
    <t>SOPORTE BLOQUEO/DESBLOQUEO DE PERIODOS EN SAP DE LAS COMPAÑÍA DEL GRUPO PREVIA AUTOROZACION DEL CONTADOR/CONTADOR GENERAL</t>
  </si>
  <si>
    <t>BLOQUEO/DESBLOQUEO SAP</t>
  </si>
  <si>
    <t xml:space="preserve">  POSTERIOR AL CIERRE DE CXP-CXC SE PROCEDE A REGISTRAR CORRECTAMENTE EL MONTO EN SAP YA QUE SAP HACE EL DIARIO DE FORMA GENERAL  101050204-0-0-1 RETENCIONES EN LA FUENTE (, , TSER) Y LO CORRECTO ES 101050202-0-0-1  2% IMPUESTO RENTA RETENIDO</t>
  </si>
  <si>
    <t xml:space="preserve">SOPORTE ANÁLISIS CUENTA DE REEMBOLSO DE GASTOS TSER/TFE  </t>
  </si>
  <si>
    <t>APOYO A CUALQUIER INQUIETUD POR LAS DIFERENCIAS DE LA CUENTA REEMBOLSOS</t>
  </si>
  <si>
    <t>SE REALIZA EL ANÁLISIS Y REVISIÓN  DE MANERA MENSUAL DEL PRECIO DE EXPORTACIÓN FACTURADO VS EL PRECIO MÍNIMO AUTORIZADO EL CUAL SE LE COMPARTE LAS DIFERENCIAS AL ÁREA COMERCIAL Y PLANIFICAACIÓN  FINANCIERA PARA LOS CORRECTIVOS A FUTURO.</t>
  </si>
  <si>
    <t>ANÁLISIS Y CRITERIO INGENIERIL</t>
  </si>
  <si>
    <t>CONSISTE EN REVISAR POSTERIOR A LA CONTABILIZACIÓN DE LA NÓMINA LOS SALDOS VS EL PROYECTADO DE ACTUARIA, EN CASO DE EXISTIR DIFERENCIA SE REALIZA EL DIARIO DE AJUSTE.</t>
  </si>
  <si>
    <t>LLEVO UN CONTROL DEL STOCK DE LAS GUIAS, CUANDO YA QUEDA POCO SOLICITO A LA IMPRENTA LA CANTIDAD NECESARIA PARA UNOS TRES MESES PROMEDIO DE CADA PUNTO DE EMISIÓN.</t>
  </si>
  <si>
    <t>DECLARACION MENSUAL DE IMPUESTOS INTELCOMAX</t>
  </si>
  <si>
    <t xml:space="preserve"> SE PROCEDE CON LA ELABORACION DE LA DECLARACION DESPUES DEL CIERRE DE CUENTAS POR PAGAR Y FACTURACION A CLIENTES ,UNA VEZ CERRADO EL MES SE BAJAN LOS REPORTES  DE VENTAS PARA LA RESPECTIVA REVISION DE IGUAL FORMA CON  LA BASE DE COMPRAS Y RETENCIONES , SE RELAIZA LA CUADRATRURA CON EL MAYOR CONTABLE DE LAS CUENTAS DE IMPUESTOS ,LUEGO SE PROCEDE CON EL  REGISTRO DE ASIENTO DE DIARIO DE COMPENSACION DEL IVA COBRADO , REGISTRO DE RECLASIFICACION DE LAS CUENTAS DE RETENCIONES POR PAGAR IR Y IVA , SOLICITUD DE FONDEO A FINANCIERO , POSTERIOR SE REALIZA EL ENVIO EN LA FECHA DE VENCIMIENTO ANTE EL SRI</t>
  </si>
  <si>
    <t xml:space="preserve">ANEXOS TRANSACCIONALES (ATS) INTELCOMAX </t>
  </si>
  <si>
    <t xml:space="preserve">ELABORACIÓN Y PRESENTACION DE EF INTELCOMAX </t>
  </si>
  <si>
    <t>UNA VEZ REALIADO TODO EL PROCESO OPERATIVO  PRESENTO AL CONTADOR GENERAL LOS ESTADOS FINANCIEROS PARA LA RESPECTIVA REVISIÓN Y POSTERIOR A ELLO PASO EL CORREO CON LOS RESULTADOS.</t>
  </si>
  <si>
    <t xml:space="preserve">PROCESO OPERTIVO INTEL </t>
  </si>
  <si>
    <t>REALIZO EL REGISTRO DE LAS CXP CXC, CONCILIACIÓN BANCARIA, AMORTIZACIONES, CUADRE DE SALDOS DE ACTUARIA, DIARIOS DE ACTIVOS FIJOS, REGISTRO DE PROVISIONES, PAGOS EFECTUADOS, PAGOS RECIBIDOS</t>
  </si>
  <si>
    <t>DECLARACION  ANUAL FORMULARIO 101 INTEL</t>
  </si>
  <si>
    <t xml:space="preserve"> ELABORACION DE LA DELCARACION DE IMPUESTOS A LA RENTA A LAS SOCIEDADES EN BORRADOR PARA LA RESPECTIVA REVISIÓN Y APROBACIÓN DEL CONTADOR.</t>
  </si>
  <si>
    <t xml:space="preserve">ELABORACION DE ESTADOS FINANCIEROS PARA ENVIO A LA SUPER DE COMPAÑIAS DE INTEL </t>
  </si>
  <si>
    <t xml:space="preserve">REQUERIMIENTOS CALIFICACIÓN PROVEEDORES INTEL  </t>
  </si>
  <si>
    <t>DEPENDIENDO LA NECESITAD LA GERENCIA SOLICITA REQUERIMIENTOS PARA PROCEDER A CALIFICARSE COMO PROVEEDOR SEGUN PROYECTOS QUE SALGAN, SE LLENA FORMULARIOS Y OTROS REQUISITOS QUE SOLICITEN.</t>
  </si>
  <si>
    <t xml:space="preserve">CARGA DE ORDENES BANCARIAS INTEL  </t>
  </si>
  <si>
    <t>SE CARGA LAS ORDENES DE LOS PROVEEDORES A PAGAR Y NOMINA SEGÚN LA NECESIDAD OPERATIVA</t>
  </si>
  <si>
    <t xml:space="preserve">MIGRACION DE NOMINA DE INTEL </t>
  </si>
  <si>
    <t>SE PROCEDE A  LA  GENERACIÓN DE CONTABILIZACIÓN DE LAS NÓMINA DE QUINCENA Y FIN DE MES  EN  EVOLUTION POSTERIOR SE CARGA  EN SAP EL ARCHIVO TIPO CSV .</t>
  </si>
  <si>
    <t>ILUSTRACION Y SOPORTE EN SAP A OTRAS ÁREAS DE LA ORGANIZACIÓN.</t>
  </si>
  <si>
    <t>CONSISTE EN BRINDAR CAPACITACIÓN Y ASISTENCIA CONTINUA EN SAP A LOS DISTINTOS DEPARTAMENTOS, PROMOVIENDO LA EFICIENCIA Y UNIFORMIDAD EN LOS PROCESOS OPERATIVOS.</t>
  </si>
  <si>
    <t>SOPORTE SAP</t>
  </si>
  <si>
    <t>SCANNER DE LAS DEVOLUCIONES DE IVA EXPORTADOR DE TSER.</t>
  </si>
  <si>
    <t>Se ingresa a las paginas web de la navieras asigandas y se coloca toda la informacion que van a llevar los contenedores de manera correcta , se ingresa las proformas dentro plazos documentales que cada naviera.</t>
  </si>
  <si>
    <t>PROFORMAS</t>
  </si>
  <si>
    <t>Corregir la informacion que nos envia la naviera de los BLS finales, tomando la informacion de los cierres de contenedores semanales (FTL)</t>
  </si>
  <si>
    <t>ELABORACION DE PLANES DE EMBARQUES DEFINTIVOS      ( BANANOS )</t>
  </si>
  <si>
    <t>Se realiza un reporte de toda la exportacion de Banano para la respectiva declaracion final ante el MAG.</t>
  </si>
  <si>
    <t>Se declara ante la SENAE la informacion final que se obtiene cuando la semana de exportacion culmina debe estar lista la informacion ,factura , Cierres de planes de embarque para poder declara la informacion correcta de lo que se exporto.</t>
  </si>
  <si>
    <t xml:space="preserve"> Cada inicio de semana llegan las facturas sean por Navieras - Depositos - Retiros - Inspeciones, confimamos que todas las facturas que nos lleguen esten facturadas con su razon social correcta y valores correctos. Esperamos el  detalle que envia el area de contabilidad para confirmar que todo se ingrese de manera correcta y dentro de los plazos del area financiera.</t>
  </si>
  <si>
    <t xml:space="preserve">Tomamos la informacion de los pedidos semanales y confirmamos con la programacion la cantidad de contendores que vamos a exportar esa semana para asi poder generar las DAES </t>
  </si>
  <si>
    <t>APERTURAS DE DOCUMENTO DE CONTROL PREVIO / DCP  ( CMA - KING OCEAN - ONE  SEABOARD )</t>
  </si>
  <si>
    <t>Revisamos la programacion semanal de los pedidos y confirmamos que se realizra, para asi genera el documento de control previo (DCP) para la generacion de DAES.</t>
  </si>
  <si>
    <t>Cuando hayan concluido con las programaciones de cada naviera, esta informacion se envia por medio de correo al Notify, donde se ingresa toda la informacion referente al embarque de acuerdo con los plazos documentales se realiza la generacion de ISF en plantillas de Excel.</t>
  </si>
  <si>
    <t>INGRESOS EN EL SISTEMA DE VERIFICACION (VGM )</t>
  </si>
  <si>
    <t xml:space="preserve">Ingresamos la informacion en la pagina de la naviera ( Booking - Contenedor) donde colocamos el peso de cada contendor para asi confirmar que los embarque no presenten problemas en cuanto al peso de la nave. </t>
  </si>
  <si>
    <t>VERIFICACIÓN</t>
  </si>
  <si>
    <t xml:space="preserve">DECLARACION DE CARTAR DE TEMPERATURA  NAVIERAS ASIGNADAS </t>
  </si>
  <si>
    <t xml:space="preserve">Se ingresa a las paginas web de la navieras o se realiza plantillas en Excel donde se coloca toda la informacion y las especificaciones de las temperatura que solicita cada cliente para cada producto.  </t>
  </si>
  <si>
    <t>DECLARACIONES</t>
  </si>
  <si>
    <t>LIBERACION DE BLS SWB (Contenedores) POR PAGOS PENDIENTES
estados de cuenta</t>
  </si>
  <si>
    <t>Se solicita a la naviera liberacion por correo despues de cancelar los valores a pagar por las exportaciones y asi solicitar el envio de los BLS (SWB) despues que las naves zarparan y se exportaran todos los contenedores.</t>
  </si>
  <si>
    <t>GESTIÓN NAVIERA</t>
  </si>
  <si>
    <t>Una vez regularizada las DAES de las navieras asignadas se recopila la siguentes informacion: DAE regularizada, factura, BLS , capture del estado regularizada en el ECUAPASS , se realiza  1 PDF con esos 4 documentos y se los coloca en la red.</t>
  </si>
  <si>
    <t>DIGITALIZACIONES</t>
  </si>
  <si>
    <t>REDUCION DE DAES                                                                                    ( CMA -  KING OCEAN   ONE -  SEABOARD )</t>
  </si>
  <si>
    <t xml:space="preserve">Confirmamos la cantidad de contenedores que se exportaran de acuerdo a cada naviera , se ingresa al ECUAPASS y se corrige la DAE dejando las Daes con sus reduciones listas. </t>
  </si>
  <si>
    <t>Una ves que todos los contenedores ingresen al puerto, se revisa y se confirma que hayan sido ingresado de manera corrrecta de acuerdo a su respectiva DAE y se comunica la Salida Autorizada por cada cliente de cada naviera.</t>
  </si>
  <si>
    <t>REGISTRO EN LA RED DE BLS DIFINITIVOS  ( CMA -  KING OCEAN   ONE -  SEABOARD )</t>
  </si>
  <si>
    <t>Se solicita a las navieras los BLS finales ( sellados - firmados - fechas de Zarpe Correcta ) y se los coloca en la red para revicion de los demas departamentos</t>
  </si>
  <si>
    <t>DOCUMENTOS PARA INSPECCIONES ANTINARCOTICOS                     ( CMA - KING OCEAN - ONE  SEABOARD )</t>
  </si>
  <si>
    <t xml:space="preserve">Se envia los documentos solicitados por el terminal por correo al area de segurida , la informacion la enviamos por correo y esperamos la confirmacion de la culminacion de la inspeciones. </t>
  </si>
  <si>
    <t xml:space="preserve">AFOROS INSTRUSIVOS ( DOCUMENTOS - SEGUIMIENTO )  NAVIERAS ASIGNADAS </t>
  </si>
  <si>
    <t>Se realiza la respectiva correcion a la Dae (Senae) y se procede con el envio de la documentacion  al area de seguridad, donde asistiran a la inspecion intrusiva el cual debemos estar pendientes y dar seguimiento a la dae hasta que esta misma cuente con salida autorizada.</t>
  </si>
  <si>
    <t>SOPORTE EN DOCUMENTOS FITOSANITARIOS</t>
  </si>
  <si>
    <t>SOPORTE</t>
  </si>
  <si>
    <t>Reportar siniestros property</t>
  </si>
  <si>
    <t>Reportar y documentar siniestros en caso que sucedan en los diferentes ramos Property</t>
  </si>
  <si>
    <t>SINIESTROS</t>
  </si>
  <si>
    <t>Elaborar reporte de siniestro transporte terrestre</t>
  </si>
  <si>
    <t>Reportar y documentar siniestro ocurrido, inspeccionar carga y posteriormente gestionar venta salvataje</t>
  </si>
  <si>
    <t>Elaborar reporte de siniestro transporte maritimo</t>
  </si>
  <si>
    <t>Reportar y documentar siniestro ocurrido en cargas exportadas</t>
  </si>
  <si>
    <t>Actualizar base de reclamos de clientes</t>
  </si>
  <si>
    <t>Actualizar la base de reclamos de clientes por aquellos casos reportados al seguro</t>
  </si>
  <si>
    <t>REPORTERIA</t>
  </si>
  <si>
    <t>Registrar en SAP los pagos recibidos por indemnizaciones de los casos reportados</t>
  </si>
  <si>
    <t>Realizar conciliación bancaria</t>
  </si>
  <si>
    <t>Conciliar información entre los estados de cuentas de los bancos</t>
  </si>
  <si>
    <t>CONCIALICIÓN</t>
  </si>
  <si>
    <t>Compensar anticipos con facturas</t>
  </si>
  <si>
    <t>Realizar compensación de pagos con facturas para posteriormente crear reporte de CXP</t>
  </si>
  <si>
    <t>Descargar estados de cuentas bancarios</t>
  </si>
  <si>
    <t>Descargar y guardar estados de cuentas bancarios al finalizar el mes en formato PDF y Excel</t>
  </si>
  <si>
    <t>Realizar pagos de nómina</t>
  </si>
  <si>
    <t>Realizar pagos de eventuales, servicios prestados y recorridos</t>
  </si>
  <si>
    <t>NÓMINA</t>
  </si>
  <si>
    <t>Registrar los pagos realizados durante la semana</t>
  </si>
  <si>
    <t>PAGOS</t>
  </si>
  <si>
    <t>Seleccionar en SAP las facturas que serán pagadas acorde lo planificado en el fondeo semanal</t>
  </si>
  <si>
    <t>Suscribir y pagar las facturas de puertos acorde lo planificado en el fondeo semanal</t>
  </si>
  <si>
    <t>Realizar carga de archivos txt creados para pago de productores de Banano - Platano</t>
  </si>
  <si>
    <t>Realizar pago y/o anticipos a los productores de Banano y Plátano acorde la liquidación semanal de fruta.</t>
  </si>
  <si>
    <t>Realizar pagos de EL Carmen (maquilaje-eventuales-fitosanitarios-reembolsos de combustible-caja chica)</t>
  </si>
  <si>
    <t>Revisar estados de cuentas enviados por las navieras y reportar diferencias al área de Comex</t>
  </si>
  <si>
    <t>Guardar comprobantes de pagos realizados a los productores de banano</t>
  </si>
  <si>
    <t>Acorde los pagos realizados, enviar comprobantes de pagos a los distintos proveedores</t>
  </si>
  <si>
    <t>Recopilar información para auditoria externa</t>
  </si>
  <si>
    <t>Recopilar información para los auditores acorde al punto designado por jefatura</t>
  </si>
  <si>
    <t>Renovar seguros TFE</t>
  </si>
  <si>
    <t>Recopilar y consultar aquellos activos operativos de TFE, para posteriormente asegurarlos.</t>
  </si>
  <si>
    <t>Compensar pagos platano con factura</t>
  </si>
  <si>
    <t>Compensar pagos semanales con las facturas registradas</t>
  </si>
  <si>
    <t>Solicitar avalúos a los terrenos propiedad de TFE</t>
  </si>
  <si>
    <t>Enviar solicitud de avaluos por los terrenos propiedad de TFE</t>
  </si>
  <si>
    <t>Revisar escrituras e historias de dominio de los terrenos propiedad de TFE que serán hipotecadas al banco</t>
  </si>
  <si>
    <t>Preparar las escrituras e historias de dominio que se enviará al banco beneficiario</t>
  </si>
  <si>
    <t>Solicitar a Smart el reembolso del deducible por casos indemnizados del seguro terrestre.</t>
  </si>
  <si>
    <t>Emitir reporte de casos que hemos sido indemnizados que corresponden al seguro terrestre y posteriormente el cobro del deducible y/o no coberturas a SMART</t>
  </si>
  <si>
    <t>Reunión con Dirección, Subgerencia Financiera y agregados</t>
  </si>
  <si>
    <t>Reunión con deparamentos contiguos tales como COMEX.</t>
  </si>
  <si>
    <t>Actualizar y publicar del portafolio</t>
  </si>
  <si>
    <t>Registrar las facturas enviadas por el departamento comercial, junto con las ventas proformadas y la mercadería en tránsito.
Validar que los valores facturados coincidan con los registrados en SAP.
Actualizar la proyección de ventas correspondientes a la semana en curso.
Revisar los pagos recibidos y las notas de crédito emitidas.
Ejecutar la información mediante el programa R para su procesamiento y actualización de resultados en Power BI.</t>
  </si>
  <si>
    <t>ELABORACIÓN DE PORTAFOLIO</t>
  </si>
  <si>
    <t>Actualizar fondeo Lineal (historico)</t>
  </si>
  <si>
    <t>Actializar las ventas semanales (SAP) y las notas de crédito descontadas.
Detallar el saldo semanal de la liquidez pendiente correspondiente a la cartera total.</t>
  </si>
  <si>
    <t>ACTUALIZACIÓN DE FLUJO HISTÓRICO</t>
  </si>
  <si>
    <t>Realizar del fondeo (ingresos)</t>
  </si>
  <si>
    <t>Registrar las ventas de la semana en curso (Expocredit, Liquidez, Standard y venta directa).
Planificar las reservas disponibles de las operaciones de factoring, notas de créditos, descuentos y cobros directos.</t>
  </si>
  <si>
    <t>ELABORACIÓN DE FONDEO</t>
  </si>
  <si>
    <t>Documentar y ejecutar ventas factoring</t>
  </si>
  <si>
    <t>Realizar los anexos y detalles de las ventas semanales (Expocredit, Liquidez Plus)</t>
  </si>
  <si>
    <t>DOCUMENTACIÓN FACTORING</t>
  </si>
  <si>
    <t>Actualizar reservas operaciones factoring (Expocredit)</t>
  </si>
  <si>
    <t>Descargar los archivos PDF de los collections liberados desde la plataforma de Expocredit y actualizar la información correspondiente en el archivo Excel de control.</t>
  </si>
  <si>
    <t>ACTUALIZACIÓN DE RESERVAS FACTORING</t>
  </si>
  <si>
    <t>Alimentar archivo de gasto financiero</t>
  </si>
  <si>
    <t>Actualizar las ventas proformadas, categorizadas en plátano y banano.
Detallar la semana de liquidación de las reservas recibidas.</t>
  </si>
  <si>
    <t>ACTUALIZACIÓN DE GASTOS FINANCIEROS</t>
  </si>
  <si>
    <t>Coordinar y dirigir comité de cartera</t>
  </si>
  <si>
    <t>Exponer las etapas de gestión, comportamiento de pagos, revisión de detalles de gasto financiero y revisión de cobertura de crédito
Desarrolar los casos de cartera que se presenten.</t>
  </si>
  <si>
    <t>COMITÉ DE CARTERA</t>
  </si>
  <si>
    <t>Realizar anexo de gastos financieros y CXC</t>
  </si>
  <si>
    <t>Actualizar los reportes de cierre de mes de los intereses y de los saldos en las cuentas correspondientes (SAP).</t>
  </si>
  <si>
    <t>ELABORACIÓN DE ANEXOS</t>
  </si>
  <si>
    <t>Enviar analisis semanal</t>
  </si>
  <si>
    <t>Enviar por correo el PDF del análisis semanal Spurrier e imprimir dos ejemplares para el Gerente Financiero y Sub Gerente Financiero.</t>
  </si>
  <si>
    <t>ANÁLISIS SPURRIER</t>
  </si>
  <si>
    <t>Enviar estados de cuenta</t>
  </si>
  <si>
    <t>Enviar los estados de cuenta a los clientes que se encuentren en las etapas de gestión del 1 al 4.</t>
  </si>
  <si>
    <t>ESTADOS DE CUENTA CLIENTES</t>
  </si>
  <si>
    <t>Descargar de estados de cuenta</t>
  </si>
  <si>
    <t>Descargar los estados de cuenta de las entidades bancarias.</t>
  </si>
  <si>
    <t>ESTADOS DE CUENTA BANCARIOS</t>
  </si>
  <si>
    <t>Registrar de créditos</t>
  </si>
  <si>
    <t>Registrar los créditos categorizados en: ventas factoring, reservas, cobros directos e ingresos varios.</t>
  </si>
  <si>
    <t>REGISTRO DE CRÉDITOS BANCARIOS</t>
  </si>
  <si>
    <t>Renovar cupos de seguro de crédito</t>
  </si>
  <si>
    <t>Enviar al broker la proyección de ventas anual del próximo año y la necesidad de cupo por cliente.</t>
  </si>
  <si>
    <t>GESTIÓN CUPOS DE CRÉDITO</t>
  </si>
  <si>
    <t>Enviar detalles de aplicación de cobros</t>
  </si>
  <si>
    <t>Enviar los detalles de cobros y la confirmación a Expocredit.</t>
  </si>
  <si>
    <t>DETALLES DE PAGO</t>
  </si>
  <si>
    <t>Compensar anticipos clientes</t>
  </si>
  <si>
    <t>Revisar y reconciliar los anticipos pendientes de aplicación al cierre del mes.</t>
  </si>
  <si>
    <t>COMPENSACIÓN DE ANTICIPOS</t>
  </si>
  <si>
    <t>Realizar conciliaciones exportadoras</t>
  </si>
  <si>
    <t>Reconciliar los anticipos y facturas entre las empresas exportadoras</t>
  </si>
  <si>
    <t>CONCILIACIÓN EXPORTACIÓN</t>
  </si>
  <si>
    <t>Envío de detalle y emisión de notas de créditos</t>
  </si>
  <si>
    <t>identificar y detallar las notas de créditos descontada.</t>
  </si>
  <si>
    <t>NOTAS DE CRÉDITO</t>
  </si>
  <si>
    <t>Asignación de números de pedidos para la mercadería en tránsito</t>
  </si>
  <si>
    <t>Designar el número de PO correspondiente a la semana en tránsito de la carga de COSCTO, según el detalle proporcionado por el departamento de Comex.</t>
  </si>
  <si>
    <t>ASIGNACIÓN POs</t>
  </si>
  <si>
    <t>Reporte de siniestro Coface</t>
  </si>
  <si>
    <t>Reportar y documentar el caso en la plataforma coface.</t>
  </si>
  <si>
    <t>SINIESTRO SEGURO</t>
  </si>
  <si>
    <t>EXP GROUP LLC</t>
  </si>
  <si>
    <t>SEABORAD</t>
  </si>
  <si>
    <t>WALMART CHILE</t>
  </si>
  <si>
    <t>KN</t>
  </si>
  <si>
    <t>1 PRODUCTO</t>
  </si>
  <si>
    <t>2 PRODUCTOS</t>
  </si>
  <si>
    <t>TIEMPO 1</t>
  </si>
  <si>
    <t>TIEMPO 2</t>
  </si>
  <si>
    <t>TIEMPO 3</t>
  </si>
  <si>
    <t>TIEMPO 4</t>
  </si>
  <si>
    <t>TIEMPO 5</t>
  </si>
  <si>
    <t>6.14.28</t>
  </si>
  <si>
    <t>4.34.27</t>
  </si>
  <si>
    <t>2.58.38</t>
  </si>
  <si>
    <t>4.51.36</t>
  </si>
  <si>
    <t>Detalle de trámites</t>
  </si>
  <si>
    <t>n factura, puerto destino, n contenedores, n tramite</t>
  </si>
  <si>
    <t>1.35.65</t>
  </si>
  <si>
    <t>0.56.35</t>
  </si>
  <si>
    <t>1.39.85</t>
  </si>
  <si>
    <t>BL</t>
  </si>
  <si>
    <t>peso, n contenedor, nombre producto, n cajas, puerto origen, destino</t>
  </si>
  <si>
    <t>0.18.68</t>
  </si>
  <si>
    <t>0.23.02</t>
  </si>
  <si>
    <t>Precio</t>
  </si>
  <si>
    <t>n articulo, nombre producto, precio</t>
  </si>
  <si>
    <t>5.58.13</t>
  </si>
  <si>
    <t>3.11.44</t>
  </si>
  <si>
    <t>Consolidación</t>
  </si>
  <si>
    <t>todo lo anterior</t>
  </si>
  <si>
    <t>0.49.44</t>
  </si>
  <si>
    <t>2.03.83</t>
  </si>
  <si>
    <t>0.38.26</t>
  </si>
  <si>
    <t>DEFINIR PROCESOS Y CRITERIOS INGENIERILES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</si>
</sst>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sz val="11"/>
      <color rgb="FF000000"/>
      <name val="Arial"/>
      <family val="2"/>
    </font>
    <font>
      <sz val="11"/>
      <color theme="1"/>
      <name val="Calibri"/>
      <family val="2"/>
    </font>
    <font>
      <b/>
      <sz val="11"/>
      <color theme="0"/>
      <name val="Calibri"/>
      <family val="2"/>
    </font>
    <font>
      <sz val="12"/>
      <color theme="0"/>
      <name val="Aptos Narrow"/>
      <family val="2"/>
      <scheme val="minor"/>
    </font>
    <font>
      <b/>
      <sz val="12"/>
      <color theme="0"/>
      <name val="Aptos Narrow"/>
      <family val="2"/>
      <scheme val="minor"/>
    </font>
    <font>
      <b/>
      <sz val="16"/>
      <color theme="1"/>
      <name val="Calibri"/>
      <family val="2"/>
    </font>
    <font>
      <b/>
      <sz val="11"/>
      <color theme="0"/>
      <name val="Aptos Narrow"/>
      <family val="2"/>
      <scheme val="minor"/>
    </font>
    <font>
      <sz val="11"/>
      <color rgb="FF000000"/>
      <name val="Calibri"/>
      <family val="2"/>
    </font>
  </fonts>
  <fills count="6">
    <fill>
      <patternFill patternType="none"/>
    </fill>
    <fill>
      <patternFill patternType="gray125"/>
    </fill>
    <fill>
      <patternFill patternType="solid">
        <fgColor rgb="FFFFC000"/>
        <bgColor indexed="64"/>
      </patternFill>
    </fill>
    <fill>
      <patternFill patternType="solid">
        <fgColor rgb="FF002060"/>
        <bgColor indexed="64"/>
      </patternFill>
    </fill>
    <fill>
      <patternFill patternType="solid">
        <fgColor rgb="FFFFFF00"/>
        <bgColor indexed="64"/>
      </patternFill>
    </fill>
    <fill>
      <patternFill patternType="solid">
        <fgColor theme="3"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8">
    <xf numFmtId="0" fontId="0" fillId="0" borderId="0" xfId="0"/>
    <xf numFmtId="0" fontId="0" fillId="0" borderId="0" xfId="0" applyAlignment="1">
      <alignment horizontal="center"/>
    </xf>
    <xf numFmtId="0" fontId="0" fillId="0" borderId="0" xfId="0" applyAlignment="1">
      <alignment horizontal="center" vertical="center"/>
    </xf>
    <xf numFmtId="21" fontId="0" fillId="0" borderId="0" xfId="0" applyNumberFormat="1"/>
    <xf numFmtId="14" fontId="1" fillId="0" borderId="0" xfId="0" applyNumberFormat="1" applyFont="1" applyAlignment="1">
      <alignment horizontal="center" vertical="center"/>
    </xf>
    <xf numFmtId="21" fontId="1" fillId="0" borderId="0" xfId="0" applyNumberFormat="1" applyFont="1" applyAlignment="1">
      <alignment horizontal="center" vertical="center"/>
    </xf>
    <xf numFmtId="0" fontId="1" fillId="0" borderId="0" xfId="0" applyFont="1" applyAlignment="1">
      <alignment horizontal="center" vertical="center"/>
    </xf>
    <xf numFmtId="2" fontId="1" fillId="0" borderId="0" xfId="0" applyNumberFormat="1" applyFont="1"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wrapText="1"/>
    </xf>
    <xf numFmtId="21" fontId="0" fillId="0" borderId="0" xfId="0" applyNumberFormat="1" applyAlignment="1">
      <alignment horizontal="center" vertical="center"/>
    </xf>
    <xf numFmtId="21" fontId="0" fillId="0" borderId="0" xfId="0" applyNumberFormat="1" applyAlignment="1">
      <alignment horizontal="center" vertical="center" wrapText="1"/>
    </xf>
    <xf numFmtId="0" fontId="0" fillId="0" borderId="0" xfId="0" applyAlignment="1">
      <alignment horizontal="justify"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xf numFmtId="0" fontId="2" fillId="0" borderId="1" xfId="0" applyFont="1" applyBorder="1" applyAlignment="1">
      <alignment horizontal="center"/>
    </xf>
    <xf numFmtId="0" fontId="1" fillId="0" borderId="0" xfId="0" applyFont="1" applyAlignment="1">
      <alignment horizontal="center" vertical="center" wrapText="1"/>
    </xf>
    <xf numFmtId="0" fontId="4" fillId="5" borderId="0" xfId="0" applyFont="1" applyFill="1" applyAlignment="1">
      <alignment horizontal="center" vertical="center"/>
    </xf>
    <xf numFmtId="0" fontId="5" fillId="5" borderId="0" xfId="0" applyFont="1" applyFill="1" applyAlignment="1">
      <alignment horizontal="center" vertical="center"/>
    </xf>
    <xf numFmtId="0" fontId="4" fillId="2" borderId="0" xfId="0" applyFont="1" applyFill="1" applyAlignment="1">
      <alignment horizontal="center" vertical="center"/>
    </xf>
    <xf numFmtId="0" fontId="6" fillId="2" borderId="1" xfId="0" applyFont="1" applyFill="1" applyBorder="1" applyAlignment="1">
      <alignment horizontal="center" vertical="center" wrapText="1"/>
    </xf>
    <xf numFmtId="0" fontId="0" fillId="0" borderId="1" xfId="0" applyBorder="1" applyAlignment="1">
      <alignment horizontal="center" vertical="center"/>
    </xf>
    <xf numFmtId="0" fontId="4" fillId="3" borderId="0" xfId="0" applyFont="1" applyFill="1" applyAlignment="1">
      <alignment horizontal="center" vertical="center"/>
    </xf>
    <xf numFmtId="0" fontId="0" fillId="0" borderId="1" xfId="0" applyBorder="1"/>
    <xf numFmtId="0" fontId="7" fillId="3" borderId="1" xfId="0" applyFont="1" applyFill="1" applyBorder="1" applyAlignment="1">
      <alignment horizontal="center" vertical="center"/>
    </xf>
    <xf numFmtId="0" fontId="8"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Border="1" applyAlignment="1">
      <alignment horizontal="center" vertical="center" wrapText="1"/>
    </xf>
    <xf numFmtId="0" fontId="2" fillId="4" borderId="1" xfId="0" applyFont="1" applyFill="1" applyBorder="1" applyAlignment="1">
      <alignment horizontal="center" vertical="center" wrapText="1"/>
    </xf>
    <xf numFmtId="2" fontId="1" fillId="0" borderId="0" xfId="0" applyNumberFormat="1" applyFont="1" applyAlignment="1">
      <alignment horizontal="center" vertical="center" wrapText="1"/>
    </xf>
    <xf numFmtId="0" fontId="1" fillId="0" borderId="0" xfId="0" applyFont="1" applyAlignment="1">
      <alignment horizontal="justify" vertical="center" wrapText="1"/>
    </xf>
    <xf numFmtId="0" fontId="1" fillId="0" borderId="0" xfId="0" applyFont="1" applyAlignment="1">
      <alignment horizontal="left" vertical="center" wrapText="1"/>
    </xf>
    <xf numFmtId="0" fontId="2" fillId="0" borderId="1" xfId="0" applyFont="1" applyBorder="1" applyAlignment="1">
      <alignment horizontal="center" wrapText="1"/>
    </xf>
    <xf numFmtId="0" fontId="0" fillId="0" borderId="1" xfId="0" quotePrefix="1" applyBorder="1" applyAlignment="1">
      <alignment horizontal="center" vertical="center"/>
    </xf>
    <xf numFmtId="0" fontId="0" fillId="0" borderId="1" xfId="0" quotePrefix="1" applyBorder="1"/>
    <xf numFmtId="0" fontId="7" fillId="3" borderId="1" xfId="0" applyFont="1" applyFill="1" applyBorder="1" applyAlignment="1">
      <alignment horizontal="center" vertical="center" wrapText="1"/>
    </xf>
    <xf numFmtId="20" fontId="0" fillId="0" borderId="0" xfId="0" applyNumberFormat="1" applyAlignment="1">
      <alignment horizontal="center" vertical="center"/>
    </xf>
    <xf numFmtId="0" fontId="4" fillId="3" borderId="0" xfId="0" applyFont="1" applyFill="1" applyAlignment="1">
      <alignment horizontal="center" vertical="center" wrapText="1"/>
    </xf>
    <xf numFmtId="0" fontId="0" fillId="0" borderId="0" xfId="0" applyAlignment="1">
      <alignment horizontal="center" wrapText="1"/>
    </xf>
    <xf numFmtId="0" fontId="4" fillId="5" borderId="0" xfId="0" applyFont="1" applyFill="1" applyAlignment="1">
      <alignment horizontal="center" vertical="center" wrapText="1"/>
    </xf>
    <xf numFmtId="0" fontId="1" fillId="0" borderId="0" xfId="0" applyFont="1" applyAlignment="1">
      <alignment horizontal="left" vertical="justify" wrapText="1"/>
    </xf>
    <xf numFmtId="0" fontId="0" fillId="0" borderId="0" xfId="0" applyAlignment="1">
      <alignment horizontal="justify" wrapText="1"/>
    </xf>
    <xf numFmtId="0" fontId="0" fillId="0" borderId="0" xfId="0" quotePrefix="1" applyAlignment="1">
      <alignment horizontal="justify" vertical="center" wrapText="1"/>
    </xf>
    <xf numFmtId="0" fontId="0" fillId="0" borderId="1" xfId="0" applyBorder="1" applyAlignment="1">
      <alignment horizontal="center" vertical="center" wrapText="1"/>
    </xf>
    <xf numFmtId="0" fontId="0" fillId="0" borderId="2" xfId="0" applyBorder="1"/>
    <xf numFmtId="0" fontId="0" fillId="0" borderId="3" xfId="0" applyBorder="1"/>
  </cellXfs>
  <cellStyles count="1">
    <cellStyle name="Normal" xfId="0" builtinId="0"/>
  </cellStyles>
  <dxfs count="25">
    <dxf>
      <fill>
        <patternFill>
          <bgColor rgb="FFFFFF00"/>
        </patternFill>
      </fill>
    </dxf>
    <dxf>
      <fill>
        <patternFill>
          <bgColor rgb="FFFFFF00"/>
        </patternFill>
      </fill>
    </dxf>
    <dxf>
      <fill>
        <patternFill>
          <bgColor rgb="FFFFFF00"/>
        </patternFill>
      </fill>
    </dxf>
    <dxf>
      <fill>
        <patternFill>
          <bgColor rgb="FFFF0000"/>
        </patternFill>
      </fill>
    </dxf>
    <dxf>
      <fill>
        <patternFill>
          <fgColor indexed="64"/>
          <bgColor auto="1"/>
        </patternFill>
      </fill>
      <alignment horizontal="justify" vertical="center" wrapText="1"/>
    </dxf>
    <dxf>
      <fill>
        <patternFill>
          <fgColor indexed="64"/>
          <bgColor auto="1"/>
        </patternFill>
      </fill>
      <alignment wrapText="1"/>
    </dxf>
    <dxf>
      <numFmt numFmtId="2" formatCode="0.00"/>
      <alignment horizontal="center" vertical="bottom"/>
    </dxf>
    <dxf>
      <fill>
        <patternFill>
          <fgColor indexed="64"/>
          <bgColor auto="1"/>
        </patternFill>
      </fill>
    </dxf>
    <dxf>
      <fill>
        <patternFill>
          <fgColor indexed="64"/>
          <bgColor auto="1"/>
        </patternFill>
      </fill>
    </dxf>
    <dxf>
      <alignment horizontal="center" vertical="center" wrapText="1"/>
    </dxf>
    <dxf>
      <alignment horizontal="center" vertical="center" wrapText="1"/>
    </dxf>
    <dxf>
      <font>
        <strike val="0"/>
        <condense val="0"/>
        <extend val="0"/>
        <outline val="0"/>
        <shadow val="0"/>
        <vertAlign val="baseline"/>
        <sz val="11"/>
        <color rgb="FF000000"/>
        <name val="Arial"/>
        <family val="2"/>
      </font>
      <numFmt numFmtId="2" formatCode="0.00"/>
      <alignment horizontal="center" vertical="center" wrapText="1"/>
    </dxf>
    <dxf>
      <font>
        <strike val="0"/>
        <condense val="0"/>
        <extend val="0"/>
        <outline val="0"/>
        <shadow val="0"/>
        <vertAlign val="baseline"/>
        <sz val="11"/>
        <color rgb="FF000000"/>
        <name val="Arial"/>
        <family val="2"/>
      </font>
      <numFmt numFmtId="2" formatCode="0.00"/>
      <alignment horizontal="center" vertical="center" wrapText="1"/>
    </dxf>
    <dxf>
      <fill>
        <patternFill>
          <fgColor indexed="64"/>
          <bgColor auto="1"/>
        </patternFill>
      </fill>
      <alignment horizontal="center" vertical="center" wrapText="1"/>
    </dxf>
    <dxf>
      <alignment horizontal="center" vertical="center" wrapText="1"/>
    </dxf>
    <dxf>
      <numFmt numFmtId="19" formatCode="dd/mm/yyyy"/>
      <alignment horizontal="center" vertical="center" wrapText="1"/>
    </dxf>
    <dxf>
      <numFmt numFmtId="19" formatCode="dd/mm/yyyy"/>
      <fill>
        <patternFill>
          <fgColor indexed="64"/>
          <bgColor auto="1"/>
        </patternFill>
      </fill>
    </dxf>
    <dxf>
      <alignment horizontal="center" vertical="center"/>
    </dxf>
    <dxf>
      <fill>
        <patternFill>
          <fgColor indexed="64"/>
          <bgColor auto="1"/>
        </patternFill>
      </fill>
      <alignment horizontal="center" vertical="center"/>
    </dxf>
    <dxf>
      <alignment horizontal="center" vertical="center"/>
    </dxf>
    <dxf>
      <alignment horizontal="center" vertical="center"/>
    </dxf>
    <dxf>
      <fill>
        <patternFill>
          <fgColor indexed="64"/>
          <bgColor auto="1"/>
        </patternFill>
      </fill>
      <alignment horizontal="center" vertical="bottom"/>
    </dxf>
    <dxf>
      <font>
        <strike val="0"/>
        <outline val="0"/>
        <shadow val="0"/>
        <vertAlign val="baseline"/>
        <sz val="12"/>
        <color theme="0"/>
        <name val="Aptos Narrow"/>
        <family val="2"/>
        <scheme val="minor"/>
      </font>
      <fill>
        <patternFill patternType="solid">
          <fgColor indexed="64"/>
          <bgColor theme="3" tint="9.9978637043366805E-2"/>
        </patternFill>
      </fill>
      <alignment horizontal="center" vertical="center"/>
    </dxf>
    <dxf>
      <fill>
        <patternFill>
          <bgColor theme="0"/>
        </patternFill>
      </fill>
    </dxf>
    <dxf>
      <fill>
        <patternFill>
          <bgColor auto="1"/>
        </patternFill>
      </fill>
    </dxf>
  </dxfs>
  <tableStyles count="2" defaultTableStyle="TableStyleMedium2" defaultPivotStyle="PivotStyleLight16">
    <tableStyle name="Estilo de tabla 1" pivot="0" count="1" xr9:uid="{00000000-0011-0000-FFFF-FFFF00000000}">
      <tableStyleElement type="wholeTable" dxfId="24"/>
    </tableStyle>
    <tableStyle name="Estilo de tabla 2" pivot="0" count="1" xr9:uid="{00000000-0011-0000-FFFF-FFFF01000000}">
      <tableStyleElement type="secondColumn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18</xdr:col>
      <xdr:colOff>0</xdr:colOff>
      <xdr:row>196</xdr:row>
      <xdr:rowOff>0</xdr:rowOff>
    </xdr:from>
    <xdr:to>
      <xdr:col>41</xdr:col>
      <xdr:colOff>30480</xdr:colOff>
      <xdr:row>216</xdr:row>
      <xdr:rowOff>261620</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1846480" y="77899260"/>
          <a:ext cx="18082260" cy="8100060"/>
        </a:xfrm>
        <a:prstGeom prst="rect">
          <a:avLst/>
        </a:prstGeom>
        <a:noFill/>
        <a:ln>
          <a:prstDash val="solid"/>
        </a:ln>
      </xdr:spPr>
    </xdr:pic>
    <xdr:clientData/>
  </xdr:twoCellAnchor>
  <xdr:twoCellAnchor editAs="oneCell">
    <xdr:from>
      <xdr:col>41</xdr:col>
      <xdr:colOff>0</xdr:colOff>
      <xdr:row>200</xdr:row>
      <xdr:rowOff>0</xdr:rowOff>
    </xdr:from>
    <xdr:to>
      <xdr:col>42</xdr:col>
      <xdr:colOff>160020</xdr:colOff>
      <xdr:row>203</xdr:row>
      <xdr:rowOff>152400</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69898260" y="79362300"/>
          <a:ext cx="944880" cy="1623060"/>
        </a:xfrm>
        <a:prstGeom prst="rect">
          <a:avLst/>
        </a:prstGeom>
        <a:noFill/>
        <a:ln>
          <a:prstDash val="solid"/>
        </a:ln>
      </xdr:spPr>
    </xdr:pic>
    <xdr:clientData/>
  </xdr:twoCellAnchor>
  <xdr:twoCellAnchor editAs="oneCell">
    <xdr:from>
      <xdr:col>42</xdr:col>
      <xdr:colOff>0</xdr:colOff>
      <xdr:row>202</xdr:row>
      <xdr:rowOff>0</xdr:rowOff>
    </xdr:from>
    <xdr:to>
      <xdr:col>51</xdr:col>
      <xdr:colOff>373380</xdr:colOff>
      <xdr:row>209</xdr:row>
      <xdr:rowOff>228600</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76649580" y="80459580"/>
          <a:ext cx="7437120" cy="2788920"/>
        </a:xfrm>
        <a:prstGeom prst="rect">
          <a:avLst/>
        </a:prstGeom>
        <a:noFill/>
        <a:ln>
          <a:prstDash val="solid"/>
        </a:ln>
      </xdr:spPr>
    </xdr:pic>
    <xdr:clientData/>
  </xdr:twoCellAnchor>
  <xdr:twoCellAnchor editAs="oneCell">
    <xdr:from>
      <xdr:col>18</xdr:col>
      <xdr:colOff>0</xdr:colOff>
      <xdr:row>227</xdr:row>
      <xdr:rowOff>0</xdr:rowOff>
    </xdr:from>
    <xdr:to>
      <xdr:col>28</xdr:col>
      <xdr:colOff>0</xdr:colOff>
      <xdr:row>228</xdr:row>
      <xdr:rowOff>228600</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63160275" y="84305775"/>
          <a:ext cx="7620000" cy="1181100"/>
        </a:xfrm>
        <a:prstGeom prst="rect">
          <a:avLst/>
        </a:prstGeom>
        <a:noFill/>
        <a:ln>
          <a:prstDash val="solid"/>
        </a:ln>
      </xdr:spPr>
    </xdr:pic>
    <xdr:clientData/>
  </xdr:twoCellAnchor>
  <xdr:twoCellAnchor editAs="oneCell">
    <xdr:from>
      <xdr:col>28</xdr:col>
      <xdr:colOff>0</xdr:colOff>
      <xdr:row>227</xdr:row>
      <xdr:rowOff>0</xdr:rowOff>
    </xdr:from>
    <xdr:to>
      <xdr:col>38</xdr:col>
      <xdr:colOff>0</xdr:colOff>
      <xdr:row>228</xdr:row>
      <xdr:rowOff>219075</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70780275" y="84305775"/>
          <a:ext cx="7620000" cy="1171575"/>
        </a:xfrm>
        <a:prstGeom prst="rect">
          <a:avLst/>
        </a:prstGeom>
        <a:noFill/>
        <a:ln>
          <a:prstDash val="solid"/>
        </a:ln>
      </xdr:spPr>
    </xdr:pic>
    <xdr:clientData/>
  </xdr:twoCellAnchor>
  <xdr:twoCellAnchor editAs="oneCell">
    <xdr:from>
      <xdr:col>18</xdr:col>
      <xdr:colOff>0</xdr:colOff>
      <xdr:row>244</xdr:row>
      <xdr:rowOff>0</xdr:rowOff>
    </xdr:from>
    <xdr:to>
      <xdr:col>27</xdr:col>
      <xdr:colOff>556260</xdr:colOff>
      <xdr:row>256</xdr:row>
      <xdr:rowOff>320040</xdr:rowOff>
    </xdr:to>
    <xdr:pic>
      <xdr:nvPicPr>
        <xdr:cNvPr id="7" name="Imagen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64960500" y="87690960"/>
          <a:ext cx="7620000" cy="4709160"/>
        </a:xfrm>
        <a:prstGeom prst="rect">
          <a:avLst/>
        </a:prstGeom>
        <a:noFill/>
        <a:ln>
          <a:prstDash val="solid"/>
        </a:ln>
      </xdr:spPr>
    </xdr:pic>
    <xdr:clientData/>
  </xdr:twoCellAnchor>
  <xdr:twoCellAnchor editAs="oneCell">
    <xdr:from>
      <xdr:col>28</xdr:col>
      <xdr:colOff>0</xdr:colOff>
      <xdr:row>251</xdr:row>
      <xdr:rowOff>0</xdr:rowOff>
    </xdr:from>
    <xdr:to>
      <xdr:col>39</xdr:col>
      <xdr:colOff>0</xdr:colOff>
      <xdr:row>264</xdr:row>
      <xdr:rowOff>137160</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72809100" y="90251280"/>
          <a:ext cx="8633460" cy="5013960"/>
        </a:xfrm>
        <a:prstGeom prst="rect">
          <a:avLst/>
        </a:prstGeom>
        <a:noFill/>
        <a:ln>
          <a:prstDash val="solid"/>
        </a:ln>
      </xdr:spPr>
    </xdr:pic>
    <xdr:clientData/>
  </xdr:twoCellAnchor>
  <xdr:twoCellAnchor editAs="oneCell">
    <xdr:from>
      <xdr:col>39</xdr:col>
      <xdr:colOff>0</xdr:colOff>
      <xdr:row>251</xdr:row>
      <xdr:rowOff>0</xdr:rowOff>
    </xdr:from>
    <xdr:to>
      <xdr:col>48</xdr:col>
      <xdr:colOff>556260</xdr:colOff>
      <xdr:row>262</xdr:row>
      <xdr:rowOff>99060</xdr:rowOff>
    </xdr:to>
    <xdr:pic>
      <xdr:nvPicPr>
        <xdr:cNvPr id="11" name="Imagen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81442560" y="90251280"/>
          <a:ext cx="7620000" cy="4274820"/>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UESTREO_LABORAL_A2" displayName="MUESTREO_LABORAL_A2" ref="B3:R328" totalsRowShown="0" headerRowDxfId="22" dataDxfId="21">
  <autoFilter ref="B3:R328" xr:uid="{00000000-0009-0000-0100-000001000000}"/>
  <tableColumns count="17">
    <tableColumn id="9" xr3:uid="{00000000-0010-0000-0000-000009000000}" name="EMPRESA" dataDxfId="20"/>
    <tableColumn id="11" xr3:uid="{00000000-0010-0000-0000-00000B000000}" name="DEPARTAMENTO" dataDxfId="19"/>
    <tableColumn id="1" xr3:uid="{00000000-0010-0000-0000-000001000000}" name="CARGO" dataDxfId="18"/>
    <tableColumn id="12" xr3:uid="{00000000-0010-0000-0000-00000C000000}" name="EVALUADO" dataDxfId="17"/>
    <tableColumn id="2" xr3:uid="{00000000-0010-0000-0000-000002000000}" name="FECHA" dataDxfId="16"/>
    <tableColumn id="15" xr3:uid="{00000000-0010-0000-0000-00000F000000}" name="DEPARTAMENTO SOPORTE" dataDxfId="15"/>
    <tableColumn id="16" xr3:uid="{00000000-0010-0000-0000-000010000000}" name="CARGO SOPORTE" dataDxfId="14"/>
    <tableColumn id="5" xr3:uid="{00000000-0010-0000-0000-000005000000}" name="ACTIVIDAD" dataDxfId="13"/>
    <tableColumn id="6" xr3:uid="{00000000-0010-0000-0000-000006000000}" name="PROCESO" dataDxfId="12">
      <calculatedColumnFormula>IFERROR(VLOOKUP(MUESTREO_LABORAL_A2[[#This Row],[ACTIVIDAD]],'Lista Maestra'!$D$6:$F$190,3,0),"")</calculatedColumnFormula>
    </tableColumn>
    <tableColumn id="17" xr3:uid="{00000000-0010-0000-0000-000011000000}" name="ACCIONES" dataDxfId="11">
      <calculatedColumnFormula>IFERROR(VLOOKUP(MUESTREO_LABORAL_A2[[#This Row],[ACTIVIDAD]],'Lista Maestra'!$D$6:$F$190,2,0),"")</calculatedColumnFormula>
    </tableColumn>
    <tableColumn id="13" xr3:uid="{00000000-0010-0000-0000-00000D000000}" name="TIPO DE ANALISIS" dataDxfId="10"/>
    <tableColumn id="14" xr3:uid="{00000000-0010-0000-0000-00000E000000}" name="DEPARTAMENTO ENC" dataDxfId="9"/>
    <tableColumn id="3" xr3:uid="{00000000-0010-0000-0000-000003000000}" name="TIEMPO INICIO" dataDxfId="8"/>
    <tableColumn id="4" xr3:uid="{00000000-0010-0000-0000-000004000000}" name="TIEMPO FIN" dataDxfId="7"/>
    <tableColumn id="8" xr3:uid="{00000000-0010-0000-0000-000008000000}" name="TIEMPO" dataDxfId="6">
      <calculatedColumnFormula>IF(MUESTREO_LABORAL_A2[[#This Row],[TIEMPO INICIO]]="","",(MUESTREO_LABORAL_A2[[#This Row],[TIEMPO FIN]]-MUESTREO_LABORAL_A2[[#This Row],[TIEMPO INICIO]])*24)</calculatedColumnFormula>
    </tableColumn>
    <tableColumn id="7" xr3:uid="{00000000-0010-0000-0000-000007000000}" name="OBSERVACIONES" dataDxfId="5"/>
    <tableColumn id="10" xr3:uid="{00000000-0010-0000-0000-00000A000000}" name="OPORTUNIDADES DE MEJORA" dataDxfId="4"/>
  </tableColumns>
  <tableStyleInfo name="TableStyleLight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S328"/>
  <sheetViews>
    <sheetView showGridLines="0" topLeftCell="A273" zoomScaleNormal="100" workbookViewId="0">
      <selection activeCell="C288" sqref="C288"/>
    </sheetView>
  </sheetViews>
  <sheetFormatPr baseColWidth="10" defaultColWidth="11.44140625" defaultRowHeight="14.4" outlineLevelCol="1" x14ac:dyDescent="0.3"/>
  <cols>
    <col min="1" max="1" width="4" customWidth="1"/>
    <col min="2" max="2" width="17.5546875" style="2" bestFit="1" customWidth="1"/>
    <col min="3" max="3" width="24" style="2" bestFit="1" customWidth="1"/>
    <col min="4" max="4" width="26.44140625" style="2" bestFit="1" customWidth="1"/>
    <col min="5" max="5" width="24.6640625" style="2" bestFit="1" customWidth="1"/>
    <col min="6" max="6" width="15.109375" style="2" bestFit="1" customWidth="1"/>
    <col min="7" max="7" width="33.44140625" style="2" bestFit="1" customWidth="1"/>
    <col min="8" max="8" width="26.44140625" style="1" bestFit="1" customWidth="1"/>
    <col min="9" max="9" width="73.44140625" style="1" bestFit="1" customWidth="1"/>
    <col min="10" max="10" width="38.33203125" style="1" bestFit="1" customWidth="1" outlineLevel="1"/>
    <col min="11" max="11" width="59.6640625" style="40" customWidth="1" outlineLevel="1"/>
    <col min="12" max="12" width="30.88671875" style="1" bestFit="1" customWidth="1"/>
    <col min="13" max="13" width="28.6640625" style="1" bestFit="1" customWidth="1"/>
    <col min="14" max="14" width="22.109375" style="1" bestFit="1" customWidth="1"/>
    <col min="15" max="15" width="19.33203125" style="2" bestFit="1" customWidth="1"/>
    <col min="16" max="16" width="15.6640625" style="1" customWidth="1"/>
    <col min="17" max="17" width="91.5546875" style="40" customWidth="1"/>
    <col min="18" max="18" width="62.109375" bestFit="1" customWidth="1"/>
  </cols>
  <sheetData>
    <row r="3" spans="2:19" ht="15.6" customHeight="1" x14ac:dyDescent="0.3">
      <c r="B3" s="18" t="s">
        <v>0</v>
      </c>
      <c r="C3" s="18" t="s">
        <v>1</v>
      </c>
      <c r="D3" s="18" t="s">
        <v>2</v>
      </c>
      <c r="E3" s="18" t="s">
        <v>3</v>
      </c>
      <c r="F3" s="18" t="s">
        <v>4</v>
      </c>
      <c r="G3" s="18" t="s">
        <v>5</v>
      </c>
      <c r="H3" s="18" t="s">
        <v>6</v>
      </c>
      <c r="I3" s="18" t="s">
        <v>7</v>
      </c>
      <c r="J3" s="23" t="s">
        <v>8</v>
      </c>
      <c r="K3" s="39" t="s">
        <v>9</v>
      </c>
      <c r="L3" s="20" t="s">
        <v>10</v>
      </c>
      <c r="M3" s="19" t="s">
        <v>11</v>
      </c>
      <c r="N3" s="18" t="s">
        <v>12</v>
      </c>
      <c r="O3" s="18" t="s">
        <v>13</v>
      </c>
      <c r="P3" s="20" t="s">
        <v>14</v>
      </c>
      <c r="Q3" s="41" t="s">
        <v>15</v>
      </c>
      <c r="R3" s="18" t="s">
        <v>16</v>
      </c>
    </row>
    <row r="4" spans="2:19" ht="28.95" customHeight="1" x14ac:dyDescent="0.3">
      <c r="B4" s="2" t="s">
        <v>17</v>
      </c>
      <c r="C4" s="2" t="s">
        <v>18</v>
      </c>
      <c r="D4" s="8" t="s">
        <v>19</v>
      </c>
      <c r="E4" s="2" t="s">
        <v>20</v>
      </c>
      <c r="F4" s="4">
        <v>45971</v>
      </c>
      <c r="H4" s="2"/>
      <c r="I4" s="17" t="s">
        <v>21</v>
      </c>
      <c r="J4" s="31" t="str">
        <f>IFERROR(VLOOKUP(MUESTREO_LABORAL_A2[[#This Row],[ACTIVIDAD]],'Lista Maestra'!$D$6:$F$190,3,0),"")</f>
        <v>CONCILIACIÓN DE VENTAS Y COMPRAS ENTRE RELACIONADAS</v>
      </c>
      <c r="K4" s="31" t="str">
        <f>IFERROR(VLOOKUP(MUESTREO_LABORAL_A2[[#This Row],[ACTIVIDAD]],'Lista Maestra'!$D$6:$F$190,2,0),"")</f>
        <v>REALIZACIÓN Y ANÁLISIS DE CONCILIACIONES DE VENTAS ENTRE EXPORTADORAS RELACIONADAS PARA VERIFICAR QUE LOS REGISTROS DE VENTAS ESTÉN CUADRADOS, IDENTIFICANDO DIFERENCIAS Y REGISTRANDO AJUSTES CONTABLES NECESARIOS.</v>
      </c>
      <c r="L4" s="17" t="s">
        <v>22</v>
      </c>
      <c r="M4" s="17"/>
      <c r="N4" s="5">
        <v>0.35416666666666669</v>
      </c>
      <c r="O4" s="5">
        <v>0.36805555555555558</v>
      </c>
      <c r="P4" s="7">
        <f>IF(MUESTREO_LABORAL_A2[[#This Row],[TIEMPO INICIO]]="","",(MUESTREO_LABORAL_A2[[#This Row],[TIEMPO FIN]]-MUESTREO_LABORAL_A2[[#This Row],[TIEMPO INICIO]])*24)</f>
        <v>0.33333333333333348</v>
      </c>
      <c r="Q4" s="32" t="s">
        <v>23</v>
      </c>
      <c r="R4" s="12"/>
      <c r="S4" s="3"/>
    </row>
    <row r="5" spans="2:19" ht="28.95" customHeight="1" x14ac:dyDescent="0.3">
      <c r="B5" s="2" t="s">
        <v>17</v>
      </c>
      <c r="C5" s="2" t="s">
        <v>18</v>
      </c>
      <c r="D5" s="8" t="s">
        <v>19</v>
      </c>
      <c r="E5" s="2" t="s">
        <v>20</v>
      </c>
      <c r="F5" s="4">
        <v>45971</v>
      </c>
      <c r="H5" s="2"/>
      <c r="I5" s="17" t="s">
        <v>24</v>
      </c>
      <c r="J5" s="31" t="str">
        <f>IFERROR(VLOOKUP(MUESTREO_LABORAL_A2[[#This Row],[ACTIVIDAD]],'Lista Maestra'!$D$6:$F$190,3,0),"")</f>
        <v>FACTURACIÓN A CLIENTES</v>
      </c>
      <c r="K5" s="31" t="str">
        <f>IFERROR(VLOOKUP(MUESTREO_LABORAL_A2[[#This Row],[ACTIVIDAD]],'Lista Maestra'!$D$6:$F$190,2,0),"")</f>
        <v>ELABORACIÓN SEMANAL DE FACTURAS DE BANANO PARA CLIENTES INTERNACIONALES EN MULTINATIONAL, TRABAJANDO CON LOS REPORTES DE TRÁMITES DE LA SEMANA, DETALLE DE CONSOLIDACIÓN EN FTL Y B/LS CON CIERRE SEMANAL CORRESPONDIENTE.</v>
      </c>
      <c r="L5" s="17" t="s">
        <v>22</v>
      </c>
      <c r="M5" s="17"/>
      <c r="N5" s="5">
        <v>0.36805555555555558</v>
      </c>
      <c r="O5" s="5">
        <v>0.38958333333333328</v>
      </c>
      <c r="P5" s="7">
        <f>IF(MUESTREO_LABORAL_A2[[#This Row],[TIEMPO INICIO]]="","",(MUESTREO_LABORAL_A2[[#This Row],[TIEMPO FIN]]-MUESTREO_LABORAL_A2[[#This Row],[TIEMPO INICIO]])*24)</f>
        <v>0.51666666666666483</v>
      </c>
      <c r="Q5" s="32" t="s">
        <v>25</v>
      </c>
      <c r="R5" s="12"/>
    </row>
    <row r="6" spans="2:19" ht="28.95" customHeight="1" x14ac:dyDescent="0.3">
      <c r="B6" s="2" t="s">
        <v>17</v>
      </c>
      <c r="C6" s="2" t="s">
        <v>18</v>
      </c>
      <c r="D6" s="8" t="s">
        <v>19</v>
      </c>
      <c r="E6" s="2" t="s">
        <v>20</v>
      </c>
      <c r="F6" s="4">
        <v>45971</v>
      </c>
      <c r="H6" s="2"/>
      <c r="I6" s="17" t="s">
        <v>26</v>
      </c>
      <c r="J6" s="31" t="str">
        <f>IFERROR(VLOOKUP(MUESTREO_LABORAL_A2[[#This Row],[ACTIVIDAD]],'Lista Maestra'!$D$6:$F$190,3,0),"")</f>
        <v>NECESIDADES BIOLÓGICAS</v>
      </c>
      <c r="K6" s="31" t="str">
        <f>IFERROR(VLOOKUP(MUESTREO_LABORAL_A2[[#This Row],[ACTIVIDAD]],'Lista Maestra'!$D$6:$F$190,2,0),"")</f>
        <v>PROCESO DE MICCIÓN Y AGREGADOS</v>
      </c>
      <c r="L6" s="17" t="s">
        <v>27</v>
      </c>
      <c r="M6" s="17"/>
      <c r="N6" s="5">
        <v>0.38958333333333328</v>
      </c>
      <c r="O6" s="5">
        <v>0.39513888888888887</v>
      </c>
      <c r="P6" s="7">
        <f>IF(MUESTREO_LABORAL_A2[[#This Row],[TIEMPO INICIO]]="","",(MUESTREO_LABORAL_A2[[#This Row],[TIEMPO FIN]]-MUESTREO_LABORAL_A2[[#This Row],[TIEMPO INICIO]])*24)</f>
        <v>0.13333333333333419</v>
      </c>
      <c r="Q6" s="32"/>
      <c r="R6" s="12"/>
    </row>
    <row r="7" spans="2:19" ht="28.95" customHeight="1" x14ac:dyDescent="0.3">
      <c r="B7" s="2" t="s">
        <v>17</v>
      </c>
      <c r="C7" s="2" t="s">
        <v>18</v>
      </c>
      <c r="D7" s="8" t="s">
        <v>19</v>
      </c>
      <c r="E7" s="2" t="s">
        <v>20</v>
      </c>
      <c r="F7" s="4">
        <v>45971</v>
      </c>
      <c r="H7" s="2"/>
      <c r="I7" s="17" t="s">
        <v>24</v>
      </c>
      <c r="J7" s="31" t="str">
        <f>IFERROR(VLOOKUP(MUESTREO_LABORAL_A2[[#This Row],[ACTIVIDAD]],'Lista Maestra'!$D$6:$F$190,3,0),"")</f>
        <v>FACTURACIÓN A CLIENTES</v>
      </c>
      <c r="K7" s="31" t="str">
        <f>IFERROR(VLOOKUP(MUESTREO_LABORAL_A2[[#This Row],[ACTIVIDAD]],'Lista Maestra'!$D$6:$F$190,2,0),"")</f>
        <v>ELABORACIÓN SEMANAL DE FACTURAS DE BANANO PARA CLIENTES INTERNACIONALES EN MULTINATIONAL, TRABAJANDO CON LOS REPORTES DE TRÁMITES DE LA SEMANA, DETALLE DE CONSOLIDACIÓN EN FTL Y B/LS CON CIERRE SEMANAL CORRESPONDIENTE.</v>
      </c>
      <c r="L7" s="17" t="s">
        <v>22</v>
      </c>
      <c r="M7" s="17"/>
      <c r="N7" s="5">
        <v>0.39513888888888887</v>
      </c>
      <c r="O7" s="5">
        <v>0.41041666666666671</v>
      </c>
      <c r="P7" s="7">
        <f>IF(MUESTREO_LABORAL_A2[[#This Row],[TIEMPO INICIO]]="","",(MUESTREO_LABORAL_A2[[#This Row],[TIEMPO FIN]]-MUESTREO_LABORAL_A2[[#This Row],[TIEMPO INICIO]])*24)</f>
        <v>0.36666666666666803</v>
      </c>
      <c r="Q7" s="32" t="s">
        <v>28</v>
      </c>
      <c r="R7" s="12"/>
    </row>
    <row r="8" spans="2:19" ht="57.6" customHeight="1" x14ac:dyDescent="0.3">
      <c r="B8" s="2" t="s">
        <v>17</v>
      </c>
      <c r="C8" s="2" t="s">
        <v>18</v>
      </c>
      <c r="D8" s="8" t="s">
        <v>19</v>
      </c>
      <c r="E8" s="2" t="s">
        <v>20</v>
      </c>
      <c r="F8" s="4">
        <v>45971</v>
      </c>
      <c r="H8" s="2"/>
      <c r="I8" s="17" t="s">
        <v>29</v>
      </c>
      <c r="J8" s="31" t="str">
        <f>IFERROR(VLOOKUP(MUESTREO_LABORAL_A2[[#This Row],[ACTIVIDAD]],'Lista Maestra'!$D$6:$F$190,3,0),"")</f>
        <v>LIQUIDACIÓN DE GASTOS</v>
      </c>
      <c r="K8" s="31">
        <f>IFERROR(VLOOKUP(MUESTREO_LABORAL_A2[[#This Row],[ACTIVIDAD]],'Lista Maestra'!$D$6:$F$190,2,0),"")</f>
        <v>0</v>
      </c>
      <c r="L8" s="17" t="s">
        <v>30</v>
      </c>
      <c r="M8" s="17"/>
      <c r="N8" s="5">
        <v>0.41041666666666671</v>
      </c>
      <c r="O8" s="5">
        <v>0.52083333333333337</v>
      </c>
      <c r="P8" s="7">
        <f>IF(MUESTREO_LABORAL_A2[[#This Row],[TIEMPO INICIO]]="","",(MUESTREO_LABORAL_A2[[#This Row],[TIEMPO FIN]]-MUESTREO_LABORAL_A2[[#This Row],[TIEMPO INICIO]])*24)</f>
        <v>2.65</v>
      </c>
      <c r="Q8" s="32" t="s">
        <v>31</v>
      </c>
      <c r="R8" s="12" t="s">
        <v>32</v>
      </c>
    </row>
    <row r="9" spans="2:19" ht="28.95" customHeight="1" x14ac:dyDescent="0.3">
      <c r="B9" s="2" t="s">
        <v>17</v>
      </c>
      <c r="C9" s="2" t="s">
        <v>18</v>
      </c>
      <c r="D9" s="8" t="s">
        <v>19</v>
      </c>
      <c r="E9" s="2" t="s">
        <v>20</v>
      </c>
      <c r="F9" s="4">
        <v>45971</v>
      </c>
      <c r="H9" s="2"/>
      <c r="I9" s="17" t="s">
        <v>33</v>
      </c>
      <c r="J9" s="31" t="str">
        <f>IFERROR(VLOOKUP(MUESTREO_LABORAL_A2[[#This Row],[ACTIVIDAD]],'Lista Maestra'!$D$6:$F$190,3,0),"")</f>
        <v>ALIMENTACIÓN</v>
      </c>
      <c r="K9" s="31" t="str">
        <f>IFERROR(VLOOKUP(MUESTREO_LABORAL_A2[[#This Row],[ACTIVIDAD]],'Lista Maestra'!$D$6:$F$190,2,0),"")</f>
        <v>ALIMENTARSE</v>
      </c>
      <c r="L9" s="6" t="s">
        <v>33</v>
      </c>
      <c r="M9" s="6"/>
      <c r="N9" s="5">
        <v>0.52083333333333337</v>
      </c>
      <c r="O9" s="5">
        <v>0.5625</v>
      </c>
      <c r="P9" s="7">
        <f>IF(MUESTREO_LABORAL_A2[[#This Row],[TIEMPO INICIO]]="","",(MUESTREO_LABORAL_A2[[#This Row],[TIEMPO FIN]]-MUESTREO_LABORAL_A2[[#This Row],[TIEMPO INICIO]])*24)</f>
        <v>0.99999999999999911</v>
      </c>
      <c r="Q9" s="32"/>
      <c r="R9" s="12"/>
    </row>
    <row r="10" spans="2:19" ht="28.95" customHeight="1" x14ac:dyDescent="0.3">
      <c r="B10" s="2" t="s">
        <v>17</v>
      </c>
      <c r="C10" s="2" t="s">
        <v>18</v>
      </c>
      <c r="D10" s="8" t="s">
        <v>19</v>
      </c>
      <c r="E10" s="2" t="s">
        <v>20</v>
      </c>
      <c r="F10" s="4">
        <v>45971</v>
      </c>
      <c r="H10" s="2"/>
      <c r="I10" s="17" t="s">
        <v>26</v>
      </c>
      <c r="J10" s="31" t="str">
        <f>IFERROR(VLOOKUP(MUESTREO_LABORAL_A2[[#This Row],[ACTIVIDAD]],'Lista Maestra'!$D$6:$F$190,3,0),"")</f>
        <v>NECESIDADES BIOLÓGICAS</v>
      </c>
      <c r="K10" s="31" t="str">
        <f>IFERROR(VLOOKUP(MUESTREO_LABORAL_A2[[#This Row],[ACTIVIDAD]],'Lista Maestra'!$D$6:$F$190,2,0),"")</f>
        <v>PROCESO DE MICCIÓN Y AGREGADOS</v>
      </c>
      <c r="L10" s="6" t="s">
        <v>27</v>
      </c>
      <c r="M10" s="6"/>
      <c r="N10" s="5">
        <v>0.5625</v>
      </c>
      <c r="O10" s="5">
        <v>0.56458333333333333</v>
      </c>
      <c r="P10" s="7">
        <f>IF(MUESTREO_LABORAL_A2[[#This Row],[TIEMPO INICIO]]="","",(MUESTREO_LABORAL_A2[[#This Row],[TIEMPO FIN]]-MUESTREO_LABORAL_A2[[#This Row],[TIEMPO INICIO]])*24)</f>
        <v>4.9999999999999822E-2</v>
      </c>
      <c r="Q10" s="32"/>
      <c r="R10" s="12"/>
    </row>
    <row r="11" spans="2:19" ht="28.95" customHeight="1" x14ac:dyDescent="0.3">
      <c r="B11" s="2" t="s">
        <v>17</v>
      </c>
      <c r="C11" s="2" t="s">
        <v>18</v>
      </c>
      <c r="D11" s="8" t="s">
        <v>19</v>
      </c>
      <c r="E11" s="2" t="s">
        <v>20</v>
      </c>
      <c r="F11" s="4">
        <v>45971</v>
      </c>
      <c r="H11" s="2"/>
      <c r="I11" s="17" t="s">
        <v>29</v>
      </c>
      <c r="J11" s="31" t="str">
        <f>IFERROR(VLOOKUP(MUESTREO_LABORAL_A2[[#This Row],[ACTIVIDAD]],'Lista Maestra'!$D$6:$F$190,3,0),"")</f>
        <v>LIQUIDACIÓN DE GASTOS</v>
      </c>
      <c r="K11" s="31">
        <f>IFERROR(VLOOKUP(MUESTREO_LABORAL_A2[[#This Row],[ACTIVIDAD]],'Lista Maestra'!$D$6:$F$190,2,0),"")</f>
        <v>0</v>
      </c>
      <c r="L11" s="6" t="s">
        <v>22</v>
      </c>
      <c r="M11" s="6"/>
      <c r="N11" s="5">
        <v>0.56458333333333333</v>
      </c>
      <c r="O11" s="5">
        <v>0.57291666666666663</v>
      </c>
      <c r="P11" s="7">
        <f>IF(MUESTREO_LABORAL_A2[[#This Row],[TIEMPO INICIO]]="","",(MUESTREO_LABORAL_A2[[#This Row],[TIEMPO FIN]]-MUESTREO_LABORAL_A2[[#This Row],[TIEMPO INICIO]])*24)</f>
        <v>0.19999999999999929</v>
      </c>
      <c r="Q11" s="32" t="s">
        <v>34</v>
      </c>
      <c r="R11" s="12"/>
    </row>
    <row r="12" spans="2:19" ht="28.95" customHeight="1" x14ac:dyDescent="0.3">
      <c r="B12" s="2" t="s">
        <v>17</v>
      </c>
      <c r="C12" s="2" t="s">
        <v>18</v>
      </c>
      <c r="D12" s="8" t="s">
        <v>19</v>
      </c>
      <c r="E12" s="2" t="s">
        <v>20</v>
      </c>
      <c r="F12" s="4">
        <v>45971</v>
      </c>
      <c r="H12" s="2"/>
      <c r="I12" s="17" t="s">
        <v>35</v>
      </c>
      <c r="J12" s="31" t="str">
        <f>IFERROR(VLOOKUP(MUESTREO_LABORAL_A2[[#This Row],[ACTIVIDAD]],'Lista Maestra'!$D$6:$F$190,3,0),"")</f>
        <v>DEFINICIÓN</v>
      </c>
      <c r="K12" s="31" t="str">
        <f>IFERROR(VLOOKUP(MUESTREO_LABORAL_A2[[#This Row],[ACTIVIDAD]],'Lista Maestra'!$D$6:$F$190,2,0),"")</f>
        <v>DEFINIR PROCESOS Y CRITERIOS INGENIERILES</v>
      </c>
      <c r="L12" s="8" t="s">
        <v>35</v>
      </c>
      <c r="M12" s="6"/>
      <c r="N12" s="5">
        <v>0.57291666666666663</v>
      </c>
      <c r="O12" s="5">
        <v>0.5805555555555556</v>
      </c>
      <c r="P12" s="7">
        <f>IF(MUESTREO_LABORAL_A2[[#This Row],[TIEMPO INICIO]]="","",(MUESTREO_LABORAL_A2[[#This Row],[TIEMPO FIN]]-MUESTREO_LABORAL_A2[[#This Row],[TIEMPO INICIO]])*24)</f>
        <v>0.18333333333333535</v>
      </c>
      <c r="Q12" s="32" t="s">
        <v>36</v>
      </c>
      <c r="R12" s="12"/>
    </row>
    <row r="13" spans="2:19" ht="28.95" customHeight="1" x14ac:dyDescent="0.3">
      <c r="B13" s="2" t="s">
        <v>17</v>
      </c>
      <c r="C13" s="2" t="s">
        <v>18</v>
      </c>
      <c r="D13" s="8" t="s">
        <v>19</v>
      </c>
      <c r="E13" s="2" t="s">
        <v>20</v>
      </c>
      <c r="F13" s="4">
        <v>45971</v>
      </c>
      <c r="G13" s="2" t="s">
        <v>18</v>
      </c>
      <c r="H13" s="2" t="s">
        <v>37</v>
      </c>
      <c r="I13" s="17" t="s">
        <v>38</v>
      </c>
      <c r="J13" s="31" t="str">
        <f>IFERROR(VLOOKUP(MUESTREO_LABORAL_A2[[#This Row],[ACTIVIDAD]],'Lista Maestra'!$D$6:$F$190,3,0),"")</f>
        <v>SUPERVISIÓN EN CIERRE</v>
      </c>
      <c r="K13" s="31">
        <f>IFERROR(VLOOKUP(MUESTREO_LABORAL_A2[[#This Row],[ACTIVIDAD]],'Lista Maestra'!$D$6:$F$190,2,0),"")</f>
        <v>0</v>
      </c>
      <c r="L13" s="8" t="s">
        <v>22</v>
      </c>
      <c r="M13" s="6"/>
      <c r="N13" s="5">
        <v>0.5805555555555556</v>
      </c>
      <c r="O13" s="5">
        <v>0.62222222222222223</v>
      </c>
      <c r="P13" s="7">
        <f>IF(MUESTREO_LABORAL_A2[[#This Row],[TIEMPO INICIO]]="","",(MUESTREO_LABORAL_A2[[#This Row],[TIEMPO FIN]]-MUESTREO_LABORAL_A2[[#This Row],[TIEMPO INICIO]])*24)</f>
        <v>0.99999999999999911</v>
      </c>
      <c r="Q13" s="32" t="s">
        <v>39</v>
      </c>
      <c r="R13" s="12"/>
    </row>
    <row r="14" spans="2:19" ht="28.95" customHeight="1" x14ac:dyDescent="0.3">
      <c r="B14" s="2" t="s">
        <v>17</v>
      </c>
      <c r="C14" s="2" t="s">
        <v>18</v>
      </c>
      <c r="D14" s="8" t="s">
        <v>19</v>
      </c>
      <c r="E14" s="2" t="s">
        <v>20</v>
      </c>
      <c r="F14" s="4">
        <v>45971</v>
      </c>
      <c r="H14" s="2"/>
      <c r="I14" s="17" t="s">
        <v>26</v>
      </c>
      <c r="J14" s="31" t="str">
        <f>IFERROR(VLOOKUP(MUESTREO_LABORAL_A2[[#This Row],[ACTIVIDAD]],'Lista Maestra'!$D$6:$F$190,3,0),"")</f>
        <v>NECESIDADES BIOLÓGICAS</v>
      </c>
      <c r="K14" s="31" t="str">
        <f>IFERROR(VLOOKUP(MUESTREO_LABORAL_A2[[#This Row],[ACTIVIDAD]],'Lista Maestra'!$D$6:$F$190,2,0),"")</f>
        <v>PROCESO DE MICCIÓN Y AGREGADOS</v>
      </c>
      <c r="L14" s="6" t="s">
        <v>27</v>
      </c>
      <c r="M14" s="6"/>
      <c r="N14" s="5">
        <v>0.62222222222222223</v>
      </c>
      <c r="O14" s="5">
        <v>0.625</v>
      </c>
      <c r="P14" s="7">
        <f>IF(MUESTREO_LABORAL_A2[[#This Row],[TIEMPO INICIO]]="","",(MUESTREO_LABORAL_A2[[#This Row],[TIEMPO FIN]]-MUESTREO_LABORAL_A2[[#This Row],[TIEMPO INICIO]])*24)</f>
        <v>6.666666666666643E-2</v>
      </c>
      <c r="Q14" s="32"/>
      <c r="R14" s="12"/>
    </row>
    <row r="15" spans="2:19" ht="28.95" customHeight="1" x14ac:dyDescent="0.3">
      <c r="B15" s="2" t="s">
        <v>17</v>
      </c>
      <c r="C15" s="2" t="s">
        <v>18</v>
      </c>
      <c r="D15" s="8" t="s">
        <v>19</v>
      </c>
      <c r="E15" s="2" t="s">
        <v>20</v>
      </c>
      <c r="F15" s="4">
        <v>45972</v>
      </c>
      <c r="H15" s="2"/>
      <c r="I15" s="17" t="s">
        <v>24</v>
      </c>
      <c r="J15" s="31" t="str">
        <f>IFERROR(VLOOKUP(MUESTREO_LABORAL_A2[[#This Row],[ACTIVIDAD]],'Lista Maestra'!$D$6:$F$190,3,0),"")</f>
        <v>FACTURACIÓN A CLIENTES</v>
      </c>
      <c r="K15" s="31" t="str">
        <f>IFERROR(VLOOKUP(MUESTREO_LABORAL_A2[[#This Row],[ACTIVIDAD]],'Lista Maestra'!$D$6:$F$190,2,0),"")</f>
        <v>ELABORACIÓN SEMANAL DE FACTURAS DE BANANO PARA CLIENTES INTERNACIONALES EN MULTINATIONAL, TRABAJANDO CON LOS REPORTES DE TRÁMITES DE LA SEMANA, DETALLE DE CONSOLIDACIÓN EN FTL Y B/LS CON CIERRE SEMANAL CORRESPONDIENTE.</v>
      </c>
      <c r="L15" s="6" t="s">
        <v>22</v>
      </c>
      <c r="M15" s="6"/>
      <c r="N15" s="5">
        <v>0.35416666666666669</v>
      </c>
      <c r="O15" s="5">
        <v>0.39444444444444438</v>
      </c>
      <c r="P15" s="7">
        <f>IF(MUESTREO_LABORAL_A2[[#This Row],[TIEMPO INICIO]]="","",(MUESTREO_LABORAL_A2[[#This Row],[TIEMPO FIN]]-MUESTREO_LABORAL_A2[[#This Row],[TIEMPO INICIO]])*24)</f>
        <v>0.96666666666666456</v>
      </c>
      <c r="Q15" s="32"/>
      <c r="R15" s="12"/>
    </row>
    <row r="16" spans="2:19" ht="28.95" customHeight="1" x14ac:dyDescent="0.3">
      <c r="B16" s="2" t="s">
        <v>17</v>
      </c>
      <c r="C16" s="2" t="s">
        <v>18</v>
      </c>
      <c r="D16" s="8" t="s">
        <v>19</v>
      </c>
      <c r="E16" s="2" t="s">
        <v>20</v>
      </c>
      <c r="F16" s="4">
        <v>45972</v>
      </c>
      <c r="H16" s="2"/>
      <c r="I16" s="17" t="s">
        <v>40</v>
      </c>
      <c r="J16" s="31" t="str">
        <f>IFERROR(VLOOKUP(MUESTREO_LABORAL_A2[[#This Row],[ACTIVIDAD]],'Lista Maestra'!$D$6:$F$190,3,0),"")</f>
        <v>SUPERVISIÓN EN CIERRE</v>
      </c>
      <c r="K16" s="31" t="str">
        <f>IFERROR(VLOOKUP(MUESTREO_LABORAL_A2[[#This Row],[ACTIVIDAD]],'Lista Maestra'!$D$6:$F$190,2,0),"")</f>
        <v>SE REVISA Y CONTROLA LA INFORMACIÓN DE LAS CUENTAS POR PAGAR DE LAS EXPORTADORAS, VERIFICANDO QUE LAS FACTURAS DE COMPRA Y GASTOS OPERATIVOS ESTÉN CORRECTAMENTE REGISTRADOS, APROBADOS Y RESPALDADOS. SE REALIZAN SEGUIMIENTOS A LOS PROVEEDORES Y SE CONFIRMA QUE LOS VALORES COINCIDAN CON LOS REGISTROS CONTABLES.</v>
      </c>
      <c r="L16" s="17" t="s">
        <v>22</v>
      </c>
      <c r="M16" s="17"/>
      <c r="N16" s="5">
        <v>0.39444444444444438</v>
      </c>
      <c r="O16" s="5">
        <v>0.40138888888888891</v>
      </c>
      <c r="P16" s="7">
        <f>IF(MUESTREO_LABORAL_A2[[#This Row],[TIEMPO INICIO]]="","",(MUESTREO_LABORAL_A2[[#This Row],[TIEMPO FIN]]-MUESTREO_LABORAL_A2[[#This Row],[TIEMPO INICIO]])*24)</f>
        <v>0.16666666666666874</v>
      </c>
      <c r="Q16" s="32" t="s">
        <v>41</v>
      </c>
      <c r="R16" s="12"/>
    </row>
    <row r="17" spans="2:18" ht="28.95" customHeight="1" x14ac:dyDescent="0.3">
      <c r="B17" s="2" t="s">
        <v>17</v>
      </c>
      <c r="C17" s="2" t="s">
        <v>18</v>
      </c>
      <c r="D17" s="8" t="s">
        <v>19</v>
      </c>
      <c r="E17" s="2" t="s">
        <v>20</v>
      </c>
      <c r="F17" s="4">
        <v>45972</v>
      </c>
      <c r="H17" s="2"/>
      <c r="I17" s="17" t="s">
        <v>24</v>
      </c>
      <c r="J17" s="31" t="str">
        <f>IFERROR(VLOOKUP(MUESTREO_LABORAL_A2[[#This Row],[ACTIVIDAD]],'Lista Maestra'!$D$6:$F$190,3,0),"")</f>
        <v>FACTURACIÓN A CLIENTES</v>
      </c>
      <c r="K17" s="31" t="str">
        <f>IFERROR(VLOOKUP(MUESTREO_LABORAL_A2[[#This Row],[ACTIVIDAD]],'Lista Maestra'!$D$6:$F$190,2,0),"")</f>
        <v>ELABORACIÓN SEMANAL DE FACTURAS DE BANANO PARA CLIENTES INTERNACIONALES EN MULTINATIONAL, TRABAJANDO CON LOS REPORTES DE TRÁMITES DE LA SEMANA, DETALLE DE CONSOLIDACIÓN EN FTL Y B/LS CON CIERRE SEMANAL CORRESPONDIENTE.</v>
      </c>
      <c r="L17" s="17" t="s">
        <v>22</v>
      </c>
      <c r="M17" s="17"/>
      <c r="N17" s="5">
        <v>0.40138888888888891</v>
      </c>
      <c r="O17" s="5">
        <v>0.51111111111111107</v>
      </c>
      <c r="P17" s="7">
        <f>IF(MUESTREO_LABORAL_A2[[#This Row],[TIEMPO INICIO]]="","",(MUESTREO_LABORAL_A2[[#This Row],[TIEMPO FIN]]-MUESTREO_LABORAL_A2[[#This Row],[TIEMPO INICIO]])*24)</f>
        <v>2.633333333333332</v>
      </c>
      <c r="Q17" s="32"/>
      <c r="R17" s="12"/>
    </row>
    <row r="18" spans="2:18" ht="41.4" customHeight="1" x14ac:dyDescent="0.3">
      <c r="B18" s="2" t="s">
        <v>17</v>
      </c>
      <c r="C18" s="2" t="s">
        <v>18</v>
      </c>
      <c r="D18" s="8" t="s">
        <v>19</v>
      </c>
      <c r="E18" s="2" t="s">
        <v>20</v>
      </c>
      <c r="F18" s="4">
        <v>45972</v>
      </c>
      <c r="G18" s="2" t="s">
        <v>42</v>
      </c>
      <c r="H18" s="8" t="s">
        <v>43</v>
      </c>
      <c r="I18" s="17" t="s">
        <v>44</v>
      </c>
      <c r="J18" s="31" t="str">
        <f>IFERROR(VLOOKUP(MUESTREO_LABORAL_A2[[#This Row],[ACTIVIDAD]],'Lista Maestra'!$D$6:$F$190,3,0),"")</f>
        <v>SOPORTE CONTABLE</v>
      </c>
      <c r="K18" s="31" t="str">
        <f>IFERROR(VLOOKUP(MUESTREO_LABORAL_A2[[#This Row],[ACTIVIDAD]],'Lista Maestra'!$D$6:$F$190,2,0),"")</f>
        <v>SE BRINDA CAPACITACIÓN Y ASISTENCIA EN EL USO DE SAP A OTROS DEPARTAMENTOS, EXPLICANDO PROCESOS CONTABLES, FUNCIONALIDADES DEL SISTEMA Y PROCEDIMIENTOS PARA EL REGISTRO.</v>
      </c>
      <c r="L18" s="17" t="s">
        <v>22</v>
      </c>
      <c r="M18" s="17"/>
      <c r="N18" s="5">
        <v>0.51111111111111107</v>
      </c>
      <c r="O18" s="5">
        <v>0.5180555555555556</v>
      </c>
      <c r="P18" s="7">
        <f>IF(MUESTREO_LABORAL_A2[[#This Row],[TIEMPO INICIO]]="","",(MUESTREO_LABORAL_A2[[#This Row],[TIEMPO FIN]]-MUESTREO_LABORAL_A2[[#This Row],[TIEMPO INICIO]])*24)</f>
        <v>0.16666666666666874</v>
      </c>
      <c r="Q18" s="33" t="s">
        <v>45</v>
      </c>
      <c r="R18" s="12"/>
    </row>
    <row r="19" spans="2:18" ht="82.95" customHeight="1" x14ac:dyDescent="0.3">
      <c r="B19" s="2" t="s">
        <v>17</v>
      </c>
      <c r="C19" s="2" t="s">
        <v>18</v>
      </c>
      <c r="D19" s="8" t="s">
        <v>19</v>
      </c>
      <c r="E19" s="2" t="s">
        <v>20</v>
      </c>
      <c r="F19" s="4">
        <v>45972</v>
      </c>
      <c r="H19" s="2"/>
      <c r="I19" s="17" t="s">
        <v>38</v>
      </c>
      <c r="J19" s="31" t="str">
        <f>IFERROR(VLOOKUP(MUESTREO_LABORAL_A2[[#This Row],[ACTIVIDAD]],'Lista Maestra'!$D$6:$F$190,3,0),"")</f>
        <v>SUPERVISIÓN EN CIERRE</v>
      </c>
      <c r="K19" s="31">
        <f>IFERROR(VLOOKUP(MUESTREO_LABORAL_A2[[#This Row],[ACTIVIDAD]],'Lista Maestra'!$D$6:$F$190,2,0),"")</f>
        <v>0</v>
      </c>
      <c r="L19" s="17" t="s">
        <v>22</v>
      </c>
      <c r="M19" s="17"/>
      <c r="N19" s="5">
        <v>0.5180555555555556</v>
      </c>
      <c r="O19" s="5">
        <v>0.52083333333333337</v>
      </c>
      <c r="P19" s="7">
        <f>IF(MUESTREO_LABORAL_A2[[#This Row],[TIEMPO INICIO]]="","",(MUESTREO_LABORAL_A2[[#This Row],[TIEMPO FIN]]-MUESTREO_LABORAL_A2[[#This Row],[TIEMPO INICIO]])*24)</f>
        <v>6.666666666666643E-2</v>
      </c>
      <c r="Q19" s="33" t="s">
        <v>46</v>
      </c>
      <c r="R19" s="12"/>
    </row>
    <row r="20" spans="2:18" ht="28.95" customHeight="1" x14ac:dyDescent="0.3">
      <c r="B20" s="2" t="s">
        <v>17</v>
      </c>
      <c r="C20" s="2" t="s">
        <v>18</v>
      </c>
      <c r="D20" s="8" t="s">
        <v>19</v>
      </c>
      <c r="E20" s="2" t="s">
        <v>20</v>
      </c>
      <c r="F20" s="4">
        <v>45972</v>
      </c>
      <c r="H20" s="2"/>
      <c r="I20" s="17" t="s">
        <v>35</v>
      </c>
      <c r="J20" s="31" t="str">
        <f>IFERROR(VLOOKUP(MUESTREO_LABORAL_A2[[#This Row],[ACTIVIDAD]],'Lista Maestra'!$D$6:$F$190,3,0),"")</f>
        <v>DEFINICIÓN</v>
      </c>
      <c r="K20" s="31" t="str">
        <f>IFERROR(VLOOKUP(MUESTREO_LABORAL_A2[[#This Row],[ACTIVIDAD]],'Lista Maestra'!$D$6:$F$190,2,0),"")</f>
        <v>DEFINIR PROCESOS Y CRITERIOS INGENIERILES</v>
      </c>
      <c r="L20" s="17" t="s">
        <v>35</v>
      </c>
      <c r="M20" s="17"/>
      <c r="N20" s="5">
        <v>0.5625</v>
      </c>
      <c r="O20" s="5">
        <v>0.58194444444444449</v>
      </c>
      <c r="P20" s="7">
        <f>IF(MUESTREO_LABORAL_A2[[#This Row],[TIEMPO INICIO]]="","",(MUESTREO_LABORAL_A2[[#This Row],[TIEMPO FIN]]-MUESTREO_LABORAL_A2[[#This Row],[TIEMPO INICIO]])*24)</f>
        <v>0.46666666666666767</v>
      </c>
      <c r="Q20" s="33" t="s">
        <v>47</v>
      </c>
      <c r="R20" s="12"/>
    </row>
    <row r="21" spans="2:18" ht="28.95" customHeight="1" x14ac:dyDescent="0.3">
      <c r="B21" s="2" t="s">
        <v>17</v>
      </c>
      <c r="C21" s="2" t="s">
        <v>18</v>
      </c>
      <c r="D21" s="8" t="s">
        <v>19</v>
      </c>
      <c r="E21" s="2" t="s">
        <v>20</v>
      </c>
      <c r="F21" s="4">
        <v>45972</v>
      </c>
      <c r="H21" s="2"/>
      <c r="I21" s="17" t="s">
        <v>48</v>
      </c>
      <c r="J21" s="31" t="str">
        <f>IFERROR(VLOOKUP(MUESTREO_LABORAL_A2[[#This Row],[ACTIVIDAD]],'Lista Maestra'!$D$6:$F$190,3,0),"")</f>
        <v>DESCUENTOS DE NÓMINA</v>
      </c>
      <c r="K21" s="31" t="str">
        <f>IFERROR(VLOOKUP(MUESTREO_LABORAL_A2[[#This Row],[ACTIVIDAD]],'Lista Maestra'!$D$6:$F$190,2,0),"")</f>
        <v>REGISTRO Y ANÁLISIS DE ASIENTOS DE DIARIO O DE RECLASIFICACIÓN EN CUENTAS POR COBRAR DE EMPLEADOS POR DESCUENTOS INDICADOS POR EL ÁREA DE RRHH, VERIFICANDO LA CONSISTENCIA DE MONTOS, CLASIFICACIÓN CONTABLE CORRECTA</v>
      </c>
      <c r="L21" s="17" t="s">
        <v>22</v>
      </c>
      <c r="M21" s="17"/>
      <c r="N21" s="5">
        <v>0.58194444444444449</v>
      </c>
      <c r="O21" s="5">
        <v>0.625</v>
      </c>
      <c r="P21" s="7">
        <f>IF(MUESTREO_LABORAL_A2[[#This Row],[TIEMPO INICIO]]="","",(MUESTREO_LABORAL_A2[[#This Row],[TIEMPO FIN]]-MUESTREO_LABORAL_A2[[#This Row],[TIEMPO INICIO]])*24)</f>
        <v>1.0333333333333323</v>
      </c>
      <c r="Q21" s="33" t="s">
        <v>49</v>
      </c>
      <c r="R21" s="12"/>
    </row>
    <row r="22" spans="2:18" ht="28.95" customHeight="1" x14ac:dyDescent="0.3">
      <c r="B22" s="2" t="s">
        <v>17</v>
      </c>
      <c r="C22" s="2" t="s">
        <v>18</v>
      </c>
      <c r="D22" s="8" t="s">
        <v>19</v>
      </c>
      <c r="E22" s="2" t="s">
        <v>20</v>
      </c>
      <c r="F22" s="4">
        <v>45973</v>
      </c>
      <c r="H22" s="2"/>
      <c r="I22" s="17" t="s">
        <v>24</v>
      </c>
      <c r="J22" s="31" t="str">
        <f>IFERROR(VLOOKUP(MUESTREO_LABORAL_A2[[#This Row],[ACTIVIDAD]],'Lista Maestra'!$D$6:$F$190,3,0),"")</f>
        <v>FACTURACIÓN A CLIENTES</v>
      </c>
      <c r="K22" s="31" t="str">
        <f>IFERROR(VLOOKUP(MUESTREO_LABORAL_A2[[#This Row],[ACTIVIDAD]],'Lista Maestra'!$D$6:$F$190,2,0),"")</f>
        <v>ELABORACIÓN SEMANAL DE FACTURAS DE BANANO PARA CLIENTES INTERNACIONALES EN MULTINATIONAL, TRABAJANDO CON LOS REPORTES DE TRÁMITES DE LA SEMANA, DETALLE DE CONSOLIDACIÓN EN FTL Y B/LS CON CIERRE SEMANAL CORRESPONDIENTE.</v>
      </c>
      <c r="L22" s="17" t="s">
        <v>22</v>
      </c>
      <c r="M22" s="17"/>
      <c r="N22" s="5">
        <v>0.35416666666666669</v>
      </c>
      <c r="O22" s="5">
        <v>0.3972222222222222</v>
      </c>
      <c r="P22" s="7">
        <f>IF(MUESTREO_LABORAL_A2[[#This Row],[TIEMPO INICIO]]="","",(MUESTREO_LABORAL_A2[[#This Row],[TIEMPO FIN]]-MUESTREO_LABORAL_A2[[#This Row],[TIEMPO INICIO]])*24)</f>
        <v>1.0333333333333323</v>
      </c>
      <c r="Q22" s="33"/>
      <c r="R22" s="12"/>
    </row>
    <row r="23" spans="2:18" ht="28.95" customHeight="1" x14ac:dyDescent="0.3">
      <c r="B23" s="2" t="s">
        <v>17</v>
      </c>
      <c r="C23" s="2" t="s">
        <v>18</v>
      </c>
      <c r="D23" s="8" t="s">
        <v>19</v>
      </c>
      <c r="E23" s="2" t="s">
        <v>20</v>
      </c>
      <c r="F23" s="4">
        <v>45973</v>
      </c>
      <c r="H23" s="2"/>
      <c r="I23" s="17" t="s">
        <v>26</v>
      </c>
      <c r="J23" s="31" t="str">
        <f>IFERROR(VLOOKUP(MUESTREO_LABORAL_A2[[#This Row],[ACTIVIDAD]],'Lista Maestra'!$D$6:$F$190,3,0),"")</f>
        <v>NECESIDADES BIOLÓGICAS</v>
      </c>
      <c r="K23" s="31" t="str">
        <f>IFERROR(VLOOKUP(MUESTREO_LABORAL_A2[[#This Row],[ACTIVIDAD]],'Lista Maestra'!$D$6:$F$190,2,0),"")</f>
        <v>PROCESO DE MICCIÓN Y AGREGADOS</v>
      </c>
      <c r="L23" s="17"/>
      <c r="M23" s="17"/>
      <c r="N23" s="5">
        <v>0.3972222222222222</v>
      </c>
      <c r="O23" s="5">
        <v>0.40069444444444452</v>
      </c>
      <c r="P23" s="7">
        <f>IF(MUESTREO_LABORAL_A2[[#This Row],[TIEMPO INICIO]]="","",(MUESTREO_LABORAL_A2[[#This Row],[TIEMPO FIN]]-MUESTREO_LABORAL_A2[[#This Row],[TIEMPO INICIO]])*24)</f>
        <v>8.3333333333335702E-2</v>
      </c>
      <c r="Q23" s="32"/>
      <c r="R23" s="12"/>
    </row>
    <row r="24" spans="2:18" ht="28.95" customHeight="1" x14ac:dyDescent="0.3">
      <c r="B24" s="2" t="s">
        <v>17</v>
      </c>
      <c r="C24" s="2" t="s">
        <v>18</v>
      </c>
      <c r="D24" s="8" t="s">
        <v>19</v>
      </c>
      <c r="E24" s="2" t="s">
        <v>20</v>
      </c>
      <c r="F24" s="4">
        <v>45973</v>
      </c>
      <c r="H24" s="2"/>
      <c r="I24" s="17" t="s">
        <v>24</v>
      </c>
      <c r="J24" s="31" t="str">
        <f>IFERROR(VLOOKUP(MUESTREO_LABORAL_A2[[#This Row],[ACTIVIDAD]],'Lista Maestra'!$D$6:$F$190,3,0),"")</f>
        <v>FACTURACIÓN A CLIENTES</v>
      </c>
      <c r="K24" s="31" t="str">
        <f>IFERROR(VLOOKUP(MUESTREO_LABORAL_A2[[#This Row],[ACTIVIDAD]],'Lista Maestra'!$D$6:$F$190,2,0),"")</f>
        <v>ELABORACIÓN SEMANAL DE FACTURAS DE BANANO PARA CLIENTES INTERNACIONALES EN MULTINATIONAL, TRABAJANDO CON LOS REPORTES DE TRÁMITES DE LA SEMANA, DETALLE DE CONSOLIDACIÓN EN FTL Y B/LS CON CIERRE SEMANAL CORRESPONDIENTE.</v>
      </c>
      <c r="L24" s="17" t="s">
        <v>22</v>
      </c>
      <c r="M24" s="17"/>
      <c r="N24" s="5">
        <v>0.40069444444444452</v>
      </c>
      <c r="O24" s="5">
        <v>0.44027777777777782</v>
      </c>
      <c r="P24" s="7">
        <f>IF(MUESTREO_LABORAL_A2[[#This Row],[TIEMPO INICIO]]="","",(MUESTREO_LABORAL_A2[[#This Row],[TIEMPO FIN]]-MUESTREO_LABORAL_A2[[#This Row],[TIEMPO INICIO]])*24)</f>
        <v>0.94999999999999929</v>
      </c>
      <c r="Q24" s="33"/>
      <c r="R24" s="12"/>
    </row>
    <row r="25" spans="2:18" ht="28.95" customHeight="1" x14ac:dyDescent="0.3">
      <c r="B25" s="2" t="s">
        <v>17</v>
      </c>
      <c r="C25" s="2" t="s">
        <v>18</v>
      </c>
      <c r="D25" s="8" t="s">
        <v>19</v>
      </c>
      <c r="E25" s="2" t="s">
        <v>20</v>
      </c>
      <c r="F25" s="4">
        <v>45973</v>
      </c>
      <c r="H25" s="2"/>
      <c r="I25" s="17" t="s">
        <v>50</v>
      </c>
      <c r="J25" s="31" t="str">
        <f>IFERROR(VLOOKUP(MUESTREO_LABORAL_A2[[#This Row],[ACTIVIDAD]],'Lista Maestra'!$D$6:$F$190,3,0),"")</f>
        <v>ANÁLISIS DE CUENTAS</v>
      </c>
      <c r="K25" s="31" t="str">
        <f>IFERROR(VLOOKUP(MUESTREO_LABORAL_A2[[#This Row],[ACTIVIDAD]],'Lista Maestra'!$D$6:$F$190,2,0),"")</f>
        <v>SE REALIZAN RECLASIFICACIONES CONTABLES Y AJUSTES MENSUALES SEGÚN LAS OBSERVACIONES DEL ÁREA CONTABLE O AUDITORÍA, CORRIGIENDO REGISTROS MAL CLASIFICADOS O INCONSISTENCIAS DETECTADAS.</v>
      </c>
      <c r="L25" s="17" t="s">
        <v>22</v>
      </c>
      <c r="M25" s="17"/>
      <c r="N25" s="5">
        <v>0.44027777777777782</v>
      </c>
      <c r="O25" s="5">
        <v>0.44374999999999998</v>
      </c>
      <c r="P25" s="7">
        <f>IF(MUESTREO_LABORAL_A2[[#This Row],[TIEMPO INICIO]]="","",(MUESTREO_LABORAL_A2[[#This Row],[TIEMPO FIN]]-MUESTREO_LABORAL_A2[[#This Row],[TIEMPO INICIO]])*24)</f>
        <v>8.3333333333331705E-2</v>
      </c>
      <c r="Q25" s="33"/>
      <c r="R25" s="12"/>
    </row>
    <row r="26" spans="2:18" ht="28.95" customHeight="1" x14ac:dyDescent="0.3">
      <c r="B26" s="2" t="s">
        <v>17</v>
      </c>
      <c r="C26" s="2" t="s">
        <v>18</v>
      </c>
      <c r="D26" s="8" t="s">
        <v>19</v>
      </c>
      <c r="E26" s="2" t="s">
        <v>20</v>
      </c>
      <c r="F26" s="4">
        <v>45973</v>
      </c>
      <c r="H26" s="2"/>
      <c r="I26" s="17" t="s">
        <v>24</v>
      </c>
      <c r="J26" s="31" t="str">
        <f>IFERROR(VLOOKUP(MUESTREO_LABORAL_A2[[#This Row],[ACTIVIDAD]],'Lista Maestra'!$D$6:$F$190,3,0),"")</f>
        <v>FACTURACIÓN A CLIENTES</v>
      </c>
      <c r="K26" s="31" t="str">
        <f>IFERROR(VLOOKUP(MUESTREO_LABORAL_A2[[#This Row],[ACTIVIDAD]],'Lista Maestra'!$D$6:$F$190,2,0),"")</f>
        <v>ELABORACIÓN SEMANAL DE FACTURAS DE BANANO PARA CLIENTES INTERNACIONALES EN MULTINATIONAL, TRABAJANDO CON LOS REPORTES DE TRÁMITES DE LA SEMANA, DETALLE DE CONSOLIDACIÓN EN FTL Y B/LS CON CIERRE SEMANAL CORRESPONDIENTE.</v>
      </c>
      <c r="L26" s="17" t="s">
        <v>22</v>
      </c>
      <c r="M26" s="17"/>
      <c r="N26" s="5">
        <v>0.44374999999999998</v>
      </c>
      <c r="O26" s="5">
        <v>0.47361111111111109</v>
      </c>
      <c r="P26" s="7">
        <f>IF(MUESTREO_LABORAL_A2[[#This Row],[TIEMPO INICIO]]="","",(MUESTREO_LABORAL_A2[[#This Row],[TIEMPO FIN]]-MUESTREO_LABORAL_A2[[#This Row],[TIEMPO INICIO]])*24)</f>
        <v>0.71666666666666679</v>
      </c>
      <c r="Q26" s="32" t="s">
        <v>51</v>
      </c>
      <c r="R26" s="12"/>
    </row>
    <row r="27" spans="2:18" ht="28.95" customHeight="1" x14ac:dyDescent="0.3">
      <c r="B27" s="2" t="s">
        <v>17</v>
      </c>
      <c r="C27" s="2" t="s">
        <v>18</v>
      </c>
      <c r="D27" s="8" t="s">
        <v>19</v>
      </c>
      <c r="E27" s="2" t="s">
        <v>20</v>
      </c>
      <c r="F27" s="4">
        <v>45973</v>
      </c>
      <c r="H27" s="2"/>
      <c r="I27" s="17" t="s">
        <v>52</v>
      </c>
      <c r="J27" s="31" t="str">
        <f>IFERROR(VLOOKUP(MUESTREO_LABORAL_A2[[#This Row],[ACTIVIDAD]],'Lista Maestra'!$D$6:$F$190,3,0),"")</f>
        <v>FACTURACIÓN A CLIENTES</v>
      </c>
      <c r="K27" s="31" t="str">
        <f>IFERROR(VLOOKUP(MUESTREO_LABORAL_A2[[#This Row],[ACTIVIDAD]],'Lista Maestra'!$D$6:$F$190,2,0),"")</f>
        <v>ELABORACIÓN SEMANAL DE FACTURAS DE PLATANO PARA CLIENTES INTERNACIONALES EN MULTINATIONAL, TRABAJANDO CON LOS REPORTES DE TRÁMITES DE LA SEMANA, DETALLE DE CONSOLIDACIÓN EN FTL Y B/LS CON CIERRE SEMANAL CORRESPONDIENTE.</v>
      </c>
      <c r="L27" s="17" t="s">
        <v>22</v>
      </c>
      <c r="M27" s="17"/>
      <c r="N27" s="5">
        <v>0.47361111111111109</v>
      </c>
      <c r="O27" s="5">
        <v>0.48749999999999999</v>
      </c>
      <c r="P27" s="7">
        <f>IF(MUESTREO_LABORAL_A2[[#This Row],[TIEMPO INICIO]]="","",(MUESTREO_LABORAL_A2[[#This Row],[TIEMPO FIN]]-MUESTREO_LABORAL_A2[[#This Row],[TIEMPO INICIO]])*24)</f>
        <v>0.33333333333333348</v>
      </c>
      <c r="Q27" s="32" t="s">
        <v>53</v>
      </c>
      <c r="R27" s="12"/>
    </row>
    <row r="28" spans="2:18" ht="28.95" customHeight="1" x14ac:dyDescent="0.3">
      <c r="B28" s="2" t="s">
        <v>17</v>
      </c>
      <c r="C28" s="2" t="s">
        <v>18</v>
      </c>
      <c r="D28" s="8" t="s">
        <v>19</v>
      </c>
      <c r="E28" s="2" t="s">
        <v>20</v>
      </c>
      <c r="F28" s="4">
        <v>45973</v>
      </c>
      <c r="H28" s="2"/>
      <c r="I28" s="17" t="s">
        <v>54</v>
      </c>
      <c r="J28" s="31" t="str">
        <f>IFERROR(VLOOKUP(MUESTREO_LABORAL_A2[[#This Row],[ACTIVIDAD]],'Lista Maestra'!$D$6:$F$190,3,0),"")</f>
        <v>ANÁLISIS DE VENTAS</v>
      </c>
      <c r="K28" s="31" t="str">
        <f>IFERROR(VLOOKUP(MUESTREO_LABORAL_A2[[#This Row],[ACTIVIDAD]],'Lista Maestra'!$D$6:$F$190,2,0),"")</f>
        <v>REALIZAR REPORTE, ANALISIS, COMPARACIÓN Y REVISIÓN DE LA INFORMACIÓN RECIBIDA POR CORREO DEL ÁREA FINANCIERA, VERIFICANDO QUE LO DECLARADO A COFACE COINCIDA CON LAS VENTAS REGISTRADAS EN LA CONTABILIDAD POR CLIENTE EN MULTINATIONAL.</v>
      </c>
      <c r="L28" s="17" t="s">
        <v>22</v>
      </c>
      <c r="M28" s="17"/>
      <c r="N28" s="5">
        <v>0.48749999999999999</v>
      </c>
      <c r="O28" s="5">
        <v>0.51388888888888884</v>
      </c>
      <c r="P28" s="7">
        <f>IF(MUESTREO_LABORAL_A2[[#This Row],[TIEMPO INICIO]]="","",(MUESTREO_LABORAL_A2[[#This Row],[TIEMPO FIN]]-MUESTREO_LABORAL_A2[[#This Row],[TIEMPO INICIO]])*24)</f>
        <v>0.63333333333333242</v>
      </c>
      <c r="Q28" s="32"/>
      <c r="R28" s="12"/>
    </row>
    <row r="29" spans="2:18" ht="28.95" customHeight="1" x14ac:dyDescent="0.3">
      <c r="B29" s="2" t="s">
        <v>17</v>
      </c>
      <c r="C29" s="2" t="s">
        <v>18</v>
      </c>
      <c r="D29" s="8" t="s">
        <v>19</v>
      </c>
      <c r="E29" s="2" t="s">
        <v>20</v>
      </c>
      <c r="F29" s="4">
        <v>45973</v>
      </c>
      <c r="H29" s="2"/>
      <c r="I29" s="17" t="s">
        <v>26</v>
      </c>
      <c r="J29" s="31" t="str">
        <f>IFERROR(VLOOKUP(MUESTREO_LABORAL_A2[[#This Row],[ACTIVIDAD]],'Lista Maestra'!$D$6:$F$190,3,0),"")</f>
        <v>NECESIDADES BIOLÓGICAS</v>
      </c>
      <c r="K29" s="31" t="str">
        <f>IFERROR(VLOOKUP(MUESTREO_LABORAL_A2[[#This Row],[ACTIVIDAD]],'Lista Maestra'!$D$6:$F$190,2,0),"")</f>
        <v>PROCESO DE MICCIÓN Y AGREGADOS</v>
      </c>
      <c r="L29" s="17" t="s">
        <v>22</v>
      </c>
      <c r="M29" s="17"/>
      <c r="N29" s="5">
        <v>0.51388888888888884</v>
      </c>
      <c r="O29" s="5">
        <v>0.51875000000000004</v>
      </c>
      <c r="P29" s="7">
        <f>IF(MUESTREO_LABORAL_A2[[#This Row],[TIEMPO INICIO]]="","",(MUESTREO_LABORAL_A2[[#This Row],[TIEMPO FIN]]-MUESTREO_LABORAL_A2[[#This Row],[TIEMPO INICIO]])*24)</f>
        <v>0.11666666666666892</v>
      </c>
      <c r="Q29" s="32"/>
      <c r="R29" s="12"/>
    </row>
    <row r="30" spans="2:18" ht="28.95" customHeight="1" x14ac:dyDescent="0.3">
      <c r="B30" s="2" t="s">
        <v>17</v>
      </c>
      <c r="C30" s="2" t="s">
        <v>18</v>
      </c>
      <c r="D30" s="8" t="s">
        <v>19</v>
      </c>
      <c r="E30" s="2" t="s">
        <v>20</v>
      </c>
      <c r="F30" s="4">
        <v>45973</v>
      </c>
      <c r="H30" s="2"/>
      <c r="I30" s="17" t="s">
        <v>55</v>
      </c>
      <c r="J30" s="31" t="str">
        <f>IFERROR(VLOOKUP(MUESTREO_LABORAL_A2[[#This Row],[ACTIVIDAD]],'Lista Maestra'!$D$6:$F$190,3,0),"")</f>
        <v>EMISIÓN CERTIFICADOS</v>
      </c>
      <c r="K30" s="31" t="str">
        <f>IFERROR(VLOOKUP(MUESTREO_LABORAL_A2[[#This Row],[ACTIVIDAD]],'Lista Maestra'!$D$6:$F$190,2,0),"")</f>
        <v>ELABORACIÓN DE CERTIFICADOS PARA PRODUCTORES SEGÚN LOS MESES SOLICITADOS, INCLUYENDO EL DETALLE DE DAE, NÚMERO DE FACTURA DE VENTA, CANTIDAD DE CAJAS EXPORTADAS, FECHA DE CIERRE DE LAS DAE, VALOR TOTAL EN USD Y FACTURA DE COMPRA DEL PROVEEDOR.</v>
      </c>
      <c r="L30" s="17" t="s">
        <v>22</v>
      </c>
      <c r="M30" s="17"/>
      <c r="N30" s="5">
        <v>0.51875000000000004</v>
      </c>
      <c r="O30" s="5">
        <v>0.52083333333333337</v>
      </c>
      <c r="P30" s="7">
        <f>IF(MUESTREO_LABORAL_A2[[#This Row],[TIEMPO INICIO]]="","",(MUESTREO_LABORAL_A2[[#This Row],[TIEMPO FIN]]-MUESTREO_LABORAL_A2[[#This Row],[TIEMPO INICIO]])*24)</f>
        <v>4.9999999999999822E-2</v>
      </c>
      <c r="Q30" s="32"/>
      <c r="R30" s="12"/>
    </row>
    <row r="31" spans="2:18" ht="28.95" customHeight="1" x14ac:dyDescent="0.3">
      <c r="B31" s="2" t="s">
        <v>17</v>
      </c>
      <c r="C31" s="2" t="s">
        <v>18</v>
      </c>
      <c r="D31" s="8" t="s">
        <v>19</v>
      </c>
      <c r="E31" s="2" t="s">
        <v>20</v>
      </c>
      <c r="F31" s="4">
        <v>45973</v>
      </c>
      <c r="H31" s="2"/>
      <c r="I31" s="17" t="s">
        <v>33</v>
      </c>
      <c r="J31" s="31" t="str">
        <f>IFERROR(VLOOKUP(MUESTREO_LABORAL_A2[[#This Row],[ACTIVIDAD]],'Lista Maestra'!$D$6:$F$190,3,0),"")</f>
        <v>ALIMENTACIÓN</v>
      </c>
      <c r="K31" s="31" t="str">
        <f>IFERROR(VLOOKUP(MUESTREO_LABORAL_A2[[#This Row],[ACTIVIDAD]],'Lista Maestra'!$D$6:$F$190,2,0),"")</f>
        <v>ALIMENTARSE</v>
      </c>
      <c r="L31" s="17" t="s">
        <v>33</v>
      </c>
      <c r="M31" s="17"/>
      <c r="N31" s="5">
        <v>0.52083333333333337</v>
      </c>
      <c r="O31" s="5">
        <v>0.5625</v>
      </c>
      <c r="P31" s="7">
        <f>IF(MUESTREO_LABORAL_A2[[#This Row],[TIEMPO INICIO]]="","",(MUESTREO_LABORAL_A2[[#This Row],[TIEMPO FIN]]-MUESTREO_LABORAL_A2[[#This Row],[TIEMPO INICIO]])*24)</f>
        <v>0.99999999999999911</v>
      </c>
      <c r="Q31" s="42"/>
      <c r="R31" s="12"/>
    </row>
    <row r="32" spans="2:18" ht="28.95" customHeight="1" x14ac:dyDescent="0.3">
      <c r="B32" s="2" t="s">
        <v>17</v>
      </c>
      <c r="C32" s="2" t="s">
        <v>18</v>
      </c>
      <c r="D32" s="8" t="s">
        <v>19</v>
      </c>
      <c r="E32" s="2" t="s">
        <v>20</v>
      </c>
      <c r="F32" s="4">
        <v>45973</v>
      </c>
      <c r="H32" s="2"/>
      <c r="I32" s="17" t="s">
        <v>24</v>
      </c>
      <c r="J32" s="31" t="str">
        <f>IFERROR(VLOOKUP(MUESTREO_LABORAL_A2[[#This Row],[ACTIVIDAD]],'Lista Maestra'!$D$6:$F$190,3,0),"")</f>
        <v>FACTURACIÓN A CLIENTES</v>
      </c>
      <c r="K32" s="31" t="str">
        <f>IFERROR(VLOOKUP(MUESTREO_LABORAL_A2[[#This Row],[ACTIVIDAD]],'Lista Maestra'!$D$6:$F$190,2,0),"")</f>
        <v>ELABORACIÓN SEMANAL DE FACTURAS DE BANANO PARA CLIENTES INTERNACIONALES EN MULTINATIONAL, TRABAJANDO CON LOS REPORTES DE TRÁMITES DE LA SEMANA, DETALLE DE CONSOLIDACIÓN EN FTL Y B/LS CON CIERRE SEMANAL CORRESPONDIENTE.</v>
      </c>
      <c r="L32" s="17" t="s">
        <v>22</v>
      </c>
      <c r="M32" s="17"/>
      <c r="N32" s="5">
        <v>0.5625</v>
      </c>
      <c r="O32" s="5">
        <v>0.58263888888888893</v>
      </c>
      <c r="P32" s="7">
        <f>IF(MUESTREO_LABORAL_A2[[#This Row],[TIEMPO INICIO]]="","",(MUESTREO_LABORAL_A2[[#This Row],[TIEMPO FIN]]-MUESTREO_LABORAL_A2[[#This Row],[TIEMPO INICIO]])*24)</f>
        <v>0.48333333333333428</v>
      </c>
      <c r="Q32" s="42"/>
      <c r="R32" s="12"/>
    </row>
    <row r="33" spans="2:18" ht="28.95" customHeight="1" x14ac:dyDescent="0.3">
      <c r="B33" s="2" t="s">
        <v>17</v>
      </c>
      <c r="C33" s="2" t="s">
        <v>18</v>
      </c>
      <c r="D33" s="8" t="s">
        <v>19</v>
      </c>
      <c r="E33" s="2" t="s">
        <v>20</v>
      </c>
      <c r="F33" s="4">
        <v>45973</v>
      </c>
      <c r="H33" s="2"/>
      <c r="I33" s="17" t="s">
        <v>55</v>
      </c>
      <c r="J33" s="31" t="str">
        <f>IFERROR(VLOOKUP(MUESTREO_LABORAL_A2[[#This Row],[ACTIVIDAD]],'Lista Maestra'!$D$6:$F$190,3,0),"")</f>
        <v>EMISIÓN CERTIFICADOS</v>
      </c>
      <c r="K33" s="31" t="str">
        <f>IFERROR(VLOOKUP(MUESTREO_LABORAL_A2[[#This Row],[ACTIVIDAD]],'Lista Maestra'!$D$6:$F$190,2,0),"")</f>
        <v>ELABORACIÓN DE CERTIFICADOS PARA PRODUCTORES SEGÚN LOS MESES SOLICITADOS, INCLUYENDO EL DETALLE DE DAE, NÚMERO DE FACTURA DE VENTA, CANTIDAD DE CAJAS EXPORTADAS, FECHA DE CIERRE DE LAS DAE, VALOR TOTAL EN USD Y FACTURA DE COMPRA DEL PROVEEDOR.</v>
      </c>
      <c r="L33" s="17" t="s">
        <v>22</v>
      </c>
      <c r="M33" s="17"/>
      <c r="N33" s="5">
        <v>0.58263888888888893</v>
      </c>
      <c r="O33" s="5">
        <v>0.625</v>
      </c>
      <c r="P33" s="7">
        <f>IF(MUESTREO_LABORAL_A2[[#This Row],[TIEMPO INICIO]]="","",(MUESTREO_LABORAL_A2[[#This Row],[TIEMPO FIN]]-MUESTREO_LABORAL_A2[[#This Row],[TIEMPO INICIO]])*24)</f>
        <v>1.0166666666666657</v>
      </c>
      <c r="Q33" s="32"/>
      <c r="R33" s="12"/>
    </row>
    <row r="34" spans="2:18" ht="28.95" customHeight="1" x14ac:dyDescent="0.3">
      <c r="B34" s="2" t="s">
        <v>17</v>
      </c>
      <c r="C34" s="2" t="s">
        <v>18</v>
      </c>
      <c r="D34" s="8" t="s">
        <v>19</v>
      </c>
      <c r="E34" s="2" t="s">
        <v>20</v>
      </c>
      <c r="F34" s="4">
        <v>45974</v>
      </c>
      <c r="H34" s="2"/>
      <c r="I34" s="17" t="s">
        <v>24</v>
      </c>
      <c r="J34" s="31" t="str">
        <f>IFERROR(VLOOKUP(MUESTREO_LABORAL_A2[[#This Row],[ACTIVIDAD]],'Lista Maestra'!$D$6:$F$190,3,0),"")</f>
        <v>FACTURACIÓN A CLIENTES</v>
      </c>
      <c r="K34" s="31" t="str">
        <f>IFERROR(VLOOKUP(MUESTREO_LABORAL_A2[[#This Row],[ACTIVIDAD]],'Lista Maestra'!$D$6:$F$190,2,0),"")</f>
        <v>ELABORACIÓN SEMANAL DE FACTURAS DE BANANO PARA CLIENTES INTERNACIONALES EN MULTINATIONAL, TRABAJANDO CON LOS REPORTES DE TRÁMITES DE LA SEMANA, DETALLE DE CONSOLIDACIÓN EN FTL Y B/LS CON CIERRE SEMANAL CORRESPONDIENTE.</v>
      </c>
      <c r="L34" s="17" t="s">
        <v>22</v>
      </c>
      <c r="M34" s="17"/>
      <c r="N34" s="5">
        <v>0.35416666666666669</v>
      </c>
      <c r="O34" s="5">
        <v>0.37708333333333333</v>
      </c>
      <c r="P34" s="7">
        <f>IF(MUESTREO_LABORAL_A2[[#This Row],[TIEMPO INICIO]]="","",(MUESTREO_LABORAL_A2[[#This Row],[TIEMPO FIN]]-MUESTREO_LABORAL_A2[[#This Row],[TIEMPO INICIO]])*24)</f>
        <v>0.54999999999999938</v>
      </c>
      <c r="Q34" s="32"/>
      <c r="R34" s="12"/>
    </row>
    <row r="35" spans="2:18" ht="28.95" customHeight="1" x14ac:dyDescent="0.3">
      <c r="B35" s="2" t="s">
        <v>17</v>
      </c>
      <c r="C35" s="2" t="s">
        <v>18</v>
      </c>
      <c r="D35" s="8" t="s">
        <v>19</v>
      </c>
      <c r="E35" s="2" t="s">
        <v>20</v>
      </c>
      <c r="F35" s="4">
        <v>45974</v>
      </c>
      <c r="H35" s="2"/>
      <c r="I35" s="17" t="s">
        <v>52</v>
      </c>
      <c r="J35" s="31" t="str">
        <f>IFERROR(VLOOKUP(MUESTREO_LABORAL_A2[[#This Row],[ACTIVIDAD]],'Lista Maestra'!$D$6:$F$190,3,0),"")</f>
        <v>FACTURACIÓN A CLIENTES</v>
      </c>
      <c r="K35" s="31" t="str">
        <f>IFERROR(VLOOKUP(MUESTREO_LABORAL_A2[[#This Row],[ACTIVIDAD]],'Lista Maestra'!$D$6:$F$190,2,0),"")</f>
        <v>ELABORACIÓN SEMANAL DE FACTURAS DE PLATANO PARA CLIENTES INTERNACIONALES EN MULTINATIONAL, TRABAJANDO CON LOS REPORTES DE TRÁMITES DE LA SEMANA, DETALLE DE CONSOLIDACIÓN EN FTL Y B/LS CON CIERRE SEMANAL CORRESPONDIENTE.</v>
      </c>
      <c r="L35" s="17" t="s">
        <v>22</v>
      </c>
      <c r="M35" s="17"/>
      <c r="N35" s="5">
        <v>0.37708333333333333</v>
      </c>
      <c r="O35" s="5">
        <v>0.40208333333333329</v>
      </c>
      <c r="P35" s="7">
        <f>IF(MUESTREO_LABORAL_A2[[#This Row],[TIEMPO INICIO]]="","",(MUESTREO_LABORAL_A2[[#This Row],[TIEMPO FIN]]-MUESTREO_LABORAL_A2[[#This Row],[TIEMPO INICIO]])*24)</f>
        <v>0.5999999999999992</v>
      </c>
      <c r="Q35" s="32"/>
      <c r="R35" s="12"/>
    </row>
    <row r="36" spans="2:18" ht="28.95" customHeight="1" x14ac:dyDescent="0.3">
      <c r="B36" s="2" t="s">
        <v>17</v>
      </c>
      <c r="C36" s="2" t="s">
        <v>18</v>
      </c>
      <c r="D36" s="8" t="s">
        <v>19</v>
      </c>
      <c r="E36" s="2" t="s">
        <v>20</v>
      </c>
      <c r="F36" s="4">
        <v>45974</v>
      </c>
      <c r="H36" s="2"/>
      <c r="I36" s="17" t="s">
        <v>56</v>
      </c>
      <c r="J36" s="31" t="str">
        <f>IFERROR(VLOOKUP(MUESTREO_LABORAL_A2[[#This Row],[ACTIVIDAD]],'Lista Maestra'!$D$6:$F$190,3,0),"")</f>
        <v>SOPORTE AUDITORÍA</v>
      </c>
      <c r="K36" s="31" t="str">
        <f>IFERROR(VLOOKUP(MUESTREO_LABORAL_A2[[#This Row],[ACTIVIDAD]],'Lista Maestra'!$D$6:$F$190,2,0),"")</f>
        <v>PROPORCIONAR SOPORTE EN AUDITORÍAS TRIBUTARIAS, DE CARBONO NEUTRO Y OTROS PROCESOS DE CONTROL FINANCIERO.</v>
      </c>
      <c r="L36" s="17" t="s">
        <v>22</v>
      </c>
      <c r="M36" s="17"/>
      <c r="N36" s="5">
        <v>0.40208333333333329</v>
      </c>
      <c r="O36" s="5">
        <v>0.44861111111111113</v>
      </c>
      <c r="P36" s="7">
        <f>IF(MUESTREO_LABORAL_A2[[#This Row],[TIEMPO INICIO]]="","",(MUESTREO_LABORAL_A2[[#This Row],[TIEMPO FIN]]-MUESTREO_LABORAL_A2[[#This Row],[TIEMPO INICIO]])*24)</f>
        <v>1.116666666666668</v>
      </c>
      <c r="Q36" s="32"/>
      <c r="R36" s="12"/>
    </row>
    <row r="37" spans="2:18" ht="28.95" customHeight="1" x14ac:dyDescent="0.3">
      <c r="B37" s="2" t="s">
        <v>17</v>
      </c>
      <c r="C37" s="2" t="s">
        <v>18</v>
      </c>
      <c r="D37" s="8" t="s">
        <v>19</v>
      </c>
      <c r="E37" s="2" t="s">
        <v>20</v>
      </c>
      <c r="F37" s="4">
        <v>45974</v>
      </c>
      <c r="H37" s="2"/>
      <c r="I37" s="17" t="s">
        <v>57</v>
      </c>
      <c r="J37" s="31" t="str">
        <f>IFERROR(VLOOKUP(MUESTREO_LABORAL_A2[[#This Row],[ACTIVIDAD]],'Lista Maestra'!$D$6:$F$190,3,0),"")</f>
        <v>REPORTERÍA</v>
      </c>
      <c r="K37" s="31" t="str">
        <f>IFERROR(VLOOKUP(MUESTREO_LABORAL_A2[[#This Row],[ACTIVIDAD]],'Lista Maestra'!$D$6:$F$190,2,0),"")</f>
        <v>ELABORAR REPORTERÍA FINANCIERA MENSUAL PARA ELABORACIÓN DE BALANCES.</v>
      </c>
      <c r="L37" s="17" t="s">
        <v>22</v>
      </c>
      <c r="M37" s="17"/>
      <c r="N37" s="5">
        <v>0.44861111111111113</v>
      </c>
      <c r="O37" s="5">
        <v>0.48819444444444438</v>
      </c>
      <c r="P37" s="7">
        <f>IF(MUESTREO_LABORAL_A2[[#This Row],[TIEMPO INICIO]]="","",(MUESTREO_LABORAL_A2[[#This Row],[TIEMPO FIN]]-MUESTREO_LABORAL_A2[[#This Row],[TIEMPO INICIO]])*24)</f>
        <v>0.94999999999999796</v>
      </c>
      <c r="Q37" s="32"/>
      <c r="R37" s="12"/>
    </row>
    <row r="38" spans="2:18" ht="28.95" customHeight="1" x14ac:dyDescent="0.3">
      <c r="B38" s="2" t="s">
        <v>17</v>
      </c>
      <c r="C38" s="2" t="s">
        <v>18</v>
      </c>
      <c r="D38" s="8" t="s">
        <v>19</v>
      </c>
      <c r="E38" s="2" t="s">
        <v>20</v>
      </c>
      <c r="F38" s="4">
        <v>45974</v>
      </c>
      <c r="H38" s="2"/>
      <c r="I38" s="17" t="s">
        <v>58</v>
      </c>
      <c r="J38" s="31" t="str">
        <f>IFERROR(VLOOKUP(MUESTREO_LABORAL_A2[[#This Row],[ACTIVIDAD]],'Lista Maestra'!$D$6:$F$190,3,0),"")</f>
        <v>CREACIÓN DE ARTÍCULOS</v>
      </c>
      <c r="K38" s="31" t="str">
        <f>IFERROR(VLOOKUP(MUESTREO_LABORAL_A2[[#This Row],[ACTIVIDAD]],'Lista Maestra'!$D$6:$F$190,2,0),"")</f>
        <v>SE REALIZA LA CREACIÓN Y ACTUALIZACIÓN DE ARTÍCULOS Y CUENTAS CONTABLES DE BIENES O SERVICIOS  EN SAP, SEGÚN LOS REQUERIMIENTOS DE LAS DEMÁS ÁREAS.</v>
      </c>
      <c r="L38" s="17" t="s">
        <v>22</v>
      </c>
      <c r="M38" s="17"/>
      <c r="N38" s="5">
        <v>0.48819444444444438</v>
      </c>
      <c r="O38" s="5">
        <v>0.49513888888888891</v>
      </c>
      <c r="P38" s="7">
        <f>IF(MUESTREO_LABORAL_A2[[#This Row],[TIEMPO INICIO]]="","",(MUESTREO_LABORAL_A2[[#This Row],[TIEMPO FIN]]-MUESTREO_LABORAL_A2[[#This Row],[TIEMPO INICIO]])*24)</f>
        <v>0.16666666666666874</v>
      </c>
      <c r="Q38" s="32"/>
      <c r="R38" s="12"/>
    </row>
    <row r="39" spans="2:18" ht="28.95" customHeight="1" x14ac:dyDescent="0.3">
      <c r="B39" s="2" t="s">
        <v>17</v>
      </c>
      <c r="C39" s="2" t="s">
        <v>18</v>
      </c>
      <c r="D39" s="8" t="s">
        <v>19</v>
      </c>
      <c r="E39" s="2" t="s">
        <v>20</v>
      </c>
      <c r="F39" s="4">
        <v>45974</v>
      </c>
      <c r="H39" s="2"/>
      <c r="I39" s="17" t="s">
        <v>57</v>
      </c>
      <c r="J39" s="31" t="str">
        <f>IFERROR(VLOOKUP(MUESTREO_LABORAL_A2[[#This Row],[ACTIVIDAD]],'Lista Maestra'!$D$6:$F$190,3,0),"")</f>
        <v>REPORTERÍA</v>
      </c>
      <c r="K39" s="31" t="str">
        <f>IFERROR(VLOOKUP(MUESTREO_LABORAL_A2[[#This Row],[ACTIVIDAD]],'Lista Maestra'!$D$6:$F$190,2,0),"")</f>
        <v>ELABORAR REPORTERÍA FINANCIERA MENSUAL PARA ELABORACIÓN DE BALANCES.</v>
      </c>
      <c r="L39" s="17" t="s">
        <v>22</v>
      </c>
      <c r="M39" s="17"/>
      <c r="N39" s="5">
        <v>0.49513888888888891</v>
      </c>
      <c r="O39" s="5">
        <v>0.52083333333333337</v>
      </c>
      <c r="P39" s="7">
        <f>IF(MUESTREO_LABORAL_A2[[#This Row],[TIEMPO INICIO]]="","",(MUESTREO_LABORAL_A2[[#This Row],[TIEMPO FIN]]-MUESTREO_LABORAL_A2[[#This Row],[TIEMPO INICIO]])*24)</f>
        <v>0.61666666666666714</v>
      </c>
      <c r="Q39" s="32"/>
      <c r="R39" s="12"/>
    </row>
    <row r="40" spans="2:18" ht="28.95" customHeight="1" x14ac:dyDescent="0.3">
      <c r="B40" s="2" t="s">
        <v>17</v>
      </c>
      <c r="C40" s="2" t="s">
        <v>18</v>
      </c>
      <c r="D40" s="8" t="s">
        <v>19</v>
      </c>
      <c r="E40" s="2" t="s">
        <v>20</v>
      </c>
      <c r="F40" s="4">
        <v>45974</v>
      </c>
      <c r="H40" s="2"/>
      <c r="I40" s="17" t="s">
        <v>33</v>
      </c>
      <c r="J40" s="31" t="str">
        <f>IFERROR(VLOOKUP(MUESTREO_LABORAL_A2[[#This Row],[ACTIVIDAD]],'Lista Maestra'!$D$6:$F$190,3,0),"")</f>
        <v>ALIMENTACIÓN</v>
      </c>
      <c r="K40" s="31" t="str">
        <f>IFERROR(VLOOKUP(MUESTREO_LABORAL_A2[[#This Row],[ACTIVIDAD]],'Lista Maestra'!$D$6:$F$190,2,0),"")</f>
        <v>ALIMENTARSE</v>
      </c>
      <c r="L40" s="17" t="s">
        <v>33</v>
      </c>
      <c r="M40" s="17"/>
      <c r="N40" s="5">
        <v>0.52083333333333337</v>
      </c>
      <c r="O40" s="5">
        <v>0.5625</v>
      </c>
      <c r="P40" s="7">
        <f>IF(MUESTREO_LABORAL_A2[[#This Row],[TIEMPO INICIO]]="","",(MUESTREO_LABORAL_A2[[#This Row],[TIEMPO FIN]]-MUESTREO_LABORAL_A2[[#This Row],[TIEMPO INICIO]])*24)</f>
        <v>0.99999999999999911</v>
      </c>
      <c r="Q40" s="32"/>
      <c r="R40" s="12"/>
    </row>
    <row r="41" spans="2:18" ht="28.95" customHeight="1" x14ac:dyDescent="0.3">
      <c r="B41" s="2" t="s">
        <v>17</v>
      </c>
      <c r="C41" s="2" t="s">
        <v>18</v>
      </c>
      <c r="D41" s="8" t="s">
        <v>19</v>
      </c>
      <c r="E41" s="2" t="s">
        <v>20</v>
      </c>
      <c r="F41" s="4">
        <v>45974</v>
      </c>
      <c r="H41" s="2"/>
      <c r="I41" s="17" t="s">
        <v>57</v>
      </c>
      <c r="J41" s="31" t="str">
        <f>IFERROR(VLOOKUP(MUESTREO_LABORAL_A2[[#This Row],[ACTIVIDAD]],'Lista Maestra'!$D$6:$F$190,3,0),"")</f>
        <v>REPORTERÍA</v>
      </c>
      <c r="K41" s="31" t="str">
        <f>IFERROR(VLOOKUP(MUESTREO_LABORAL_A2[[#This Row],[ACTIVIDAD]],'Lista Maestra'!$D$6:$F$190,2,0),"")</f>
        <v>ELABORAR REPORTERÍA FINANCIERA MENSUAL PARA ELABORACIÓN DE BALANCES.</v>
      </c>
      <c r="L41" s="17" t="s">
        <v>22</v>
      </c>
      <c r="M41" s="17"/>
      <c r="N41" s="5">
        <v>0.5625</v>
      </c>
      <c r="O41" s="5">
        <v>0.625</v>
      </c>
      <c r="P41" s="7">
        <f>IF(MUESTREO_LABORAL_A2[[#This Row],[TIEMPO INICIO]]="","",(MUESTREO_LABORAL_A2[[#This Row],[TIEMPO FIN]]-MUESTREO_LABORAL_A2[[#This Row],[TIEMPO INICIO]])*24)</f>
        <v>1.5</v>
      </c>
      <c r="Q41" s="32"/>
      <c r="R41" s="12"/>
    </row>
    <row r="42" spans="2:18" ht="110.4" customHeight="1" x14ac:dyDescent="0.3">
      <c r="B42" s="2" t="s">
        <v>17</v>
      </c>
      <c r="C42" s="2" t="s">
        <v>18</v>
      </c>
      <c r="D42" s="8" t="s">
        <v>19</v>
      </c>
      <c r="E42" s="2" t="s">
        <v>20</v>
      </c>
      <c r="F42" s="4">
        <v>45975</v>
      </c>
      <c r="H42" s="2"/>
      <c r="I42" s="17" t="s">
        <v>55</v>
      </c>
      <c r="J42" s="31" t="str">
        <f>IFERROR(VLOOKUP(MUESTREO_LABORAL_A2[[#This Row],[ACTIVIDAD]],'Lista Maestra'!$D$6:$F$190,3,0),"")</f>
        <v>EMISIÓN CERTIFICADOS</v>
      </c>
      <c r="K42" s="31" t="str">
        <f>IFERROR(VLOOKUP(MUESTREO_LABORAL_A2[[#This Row],[ACTIVIDAD]],'Lista Maestra'!$D$6:$F$190,2,0),"")</f>
        <v>ELABORACIÓN DE CERTIFICADOS PARA PRODUCTORES SEGÚN LOS MESES SOLICITADOS, INCLUYENDO EL DETALLE DE DAE, NÚMERO DE FACTURA DE VENTA, CANTIDAD DE CAJAS EXPORTADAS, FECHA DE CIERRE DE LAS DAE, VALOR TOTAL EN USD Y FACTURA DE COMPRA DEL PROVEEDOR.</v>
      </c>
      <c r="L42" s="17" t="s">
        <v>22</v>
      </c>
      <c r="M42" s="17"/>
      <c r="N42" s="5">
        <v>0.35416666666666669</v>
      </c>
      <c r="O42" s="5">
        <v>0.4</v>
      </c>
      <c r="P42" s="7">
        <f>IF(MUESTREO_LABORAL_A2[[#This Row],[TIEMPO INICIO]]="","",(MUESTREO_LABORAL_A2[[#This Row],[TIEMPO FIN]]-MUESTREO_LABORAL_A2[[#This Row],[TIEMPO INICIO]])*24)</f>
        <v>1.1000000000000001</v>
      </c>
      <c r="Q42" s="32" t="s">
        <v>59</v>
      </c>
      <c r="R42" s="12"/>
    </row>
    <row r="43" spans="2:18" ht="28.95" customHeight="1" x14ac:dyDescent="0.3">
      <c r="B43" s="2" t="s">
        <v>17</v>
      </c>
      <c r="C43" s="2" t="s">
        <v>18</v>
      </c>
      <c r="D43" s="8" t="s">
        <v>19</v>
      </c>
      <c r="E43" s="2" t="s">
        <v>20</v>
      </c>
      <c r="F43" s="4">
        <v>45975</v>
      </c>
      <c r="H43" s="2"/>
      <c r="I43" s="17" t="s">
        <v>60</v>
      </c>
      <c r="J43" s="31" t="str">
        <f>IFERROR(VLOOKUP(MUESTREO_LABORAL_A2[[#This Row],[ACTIVIDAD]],'Lista Maestra'!$D$6:$F$190,3,0),"")</f>
        <v>FACTURACIÓN A CLIENTES</v>
      </c>
      <c r="K43" s="31" t="str">
        <f>IFERROR(VLOOKUP(MUESTREO_LABORAL_A2[[#This Row],[ACTIVIDAD]],'Lista Maestra'!$D$6:$F$190,2,0),"")</f>
        <v xml:space="preserve">ELABORACIÓN SEMANAL DE FACTURAS DE BANANO PARA CLIENTES INTERNACIONALES EN MULTINATIONAL, TRABAJANDO CON LOS REPORTES DE TRÁMITES DE LA SEMANA, DETALLE DE CONSOLIDACIÓN EN FTL Y B/LS, FACTURACIÓN SE REALIZA 21 DÍAS DESPUES DEL ZARPE DE LA CARGA </v>
      </c>
      <c r="L43" s="17" t="s">
        <v>22</v>
      </c>
      <c r="M43" s="17"/>
      <c r="N43" s="5">
        <v>0.4</v>
      </c>
      <c r="O43" s="5">
        <v>0.45347222222222222</v>
      </c>
      <c r="P43" s="7">
        <f>IF(MUESTREO_LABORAL_A2[[#This Row],[TIEMPO INICIO]]="","",(MUESTREO_LABORAL_A2[[#This Row],[TIEMPO FIN]]-MUESTREO_LABORAL_A2[[#This Row],[TIEMPO INICIO]])*24)</f>
        <v>1.2833333333333328</v>
      </c>
      <c r="Q43" s="32"/>
      <c r="R43" s="12"/>
    </row>
    <row r="44" spans="2:18" ht="28.95" customHeight="1" x14ac:dyDescent="0.3">
      <c r="B44" s="2" t="s">
        <v>17</v>
      </c>
      <c r="C44" s="2" t="s">
        <v>18</v>
      </c>
      <c r="D44" s="8" t="s">
        <v>19</v>
      </c>
      <c r="E44" s="2" t="s">
        <v>20</v>
      </c>
      <c r="F44" s="4">
        <v>45975</v>
      </c>
      <c r="H44" s="2"/>
      <c r="I44" s="17" t="s">
        <v>61</v>
      </c>
      <c r="J44" s="31" t="str">
        <f>IFERROR(VLOOKUP(MUESTREO_LABORAL_A2[[#This Row],[ACTIVIDAD]],'Lista Maestra'!$D$6:$F$190,3,0),"")</f>
        <v>CONTROL DE CAJA CHICA</v>
      </c>
      <c r="K44" s="31" t="str">
        <f>IFERROR(VLOOKUP(MUESTREO_LABORAL_A2[[#This Row],[ACTIVIDAD]],'Lista Maestra'!$D$6:$F$190,2,0),"")</f>
        <v>SE EJECUTA LA GESTIÓN DE REPOSICIÓN Y CONTROL DE CAJA CHICA, MEDIANTE LA REVISIÓN DE COMPROBANTES DE GASTO, VALIDACIÓN DE SOPORTES Y REGISTRO CONTABLE DE LOS MOVIMIENTOS EFECTUADOS. SE VERIFICA QUE LOS GASTOS SE ENCUENTREN DENTRO DE LAS POLÍTICAS INTERNAS Y SE PREPARA LA SOLICITUD DE REPOSICIÓN CORRESPONDIENTE.</v>
      </c>
      <c r="L44" s="17" t="s">
        <v>22</v>
      </c>
      <c r="M44" s="17"/>
      <c r="N44" s="5">
        <v>0.45347222222222222</v>
      </c>
      <c r="O44" s="5">
        <v>0.52083333333333337</v>
      </c>
      <c r="P44" s="7">
        <f>IF(MUESTREO_LABORAL_A2[[#This Row],[TIEMPO INICIO]]="","",(MUESTREO_LABORAL_A2[[#This Row],[TIEMPO FIN]]-MUESTREO_LABORAL_A2[[#This Row],[TIEMPO INICIO]])*24)</f>
        <v>1.6166666666666676</v>
      </c>
      <c r="Q44" s="32"/>
      <c r="R44" s="12"/>
    </row>
    <row r="45" spans="2:18" ht="28.95" customHeight="1" x14ac:dyDescent="0.3">
      <c r="B45" s="2" t="s">
        <v>17</v>
      </c>
      <c r="C45" s="2" t="s">
        <v>18</v>
      </c>
      <c r="D45" s="8" t="s">
        <v>19</v>
      </c>
      <c r="E45" s="2" t="s">
        <v>20</v>
      </c>
      <c r="F45" s="4">
        <v>45975</v>
      </c>
      <c r="H45" s="2"/>
      <c r="I45" s="17" t="s">
        <v>33</v>
      </c>
      <c r="J45" s="31" t="str">
        <f>IFERROR(VLOOKUP(MUESTREO_LABORAL_A2[[#This Row],[ACTIVIDAD]],'Lista Maestra'!$D$6:$F$190,3,0),"")</f>
        <v>ALIMENTACIÓN</v>
      </c>
      <c r="K45" s="31" t="str">
        <f>IFERROR(VLOOKUP(MUESTREO_LABORAL_A2[[#This Row],[ACTIVIDAD]],'Lista Maestra'!$D$6:$F$190,2,0),"")</f>
        <v>ALIMENTARSE</v>
      </c>
      <c r="L45" s="17" t="s">
        <v>33</v>
      </c>
      <c r="M45" s="17"/>
      <c r="N45" s="5">
        <v>0.52083333333333337</v>
      </c>
      <c r="O45" s="5">
        <v>0.5625</v>
      </c>
      <c r="P45" s="7">
        <f>IF(MUESTREO_LABORAL_A2[[#This Row],[TIEMPO INICIO]]="","",(MUESTREO_LABORAL_A2[[#This Row],[TIEMPO FIN]]-MUESTREO_LABORAL_A2[[#This Row],[TIEMPO INICIO]])*24)</f>
        <v>0.99999999999999911</v>
      </c>
      <c r="Q45" s="32"/>
      <c r="R45" s="12"/>
    </row>
    <row r="46" spans="2:18" ht="28.95" customHeight="1" x14ac:dyDescent="0.3">
      <c r="B46" s="2" t="s">
        <v>17</v>
      </c>
      <c r="C46" s="2" t="s">
        <v>18</v>
      </c>
      <c r="D46" s="8" t="s">
        <v>19</v>
      </c>
      <c r="E46" s="2" t="s">
        <v>20</v>
      </c>
      <c r="F46" s="4">
        <v>45975</v>
      </c>
      <c r="H46" s="2"/>
      <c r="I46" s="17" t="s">
        <v>55</v>
      </c>
      <c r="J46" s="31" t="str">
        <f>IFERROR(VLOOKUP(MUESTREO_LABORAL_A2[[#This Row],[ACTIVIDAD]],'Lista Maestra'!$D$6:$F$190,3,0),"")</f>
        <v>EMISIÓN CERTIFICADOS</v>
      </c>
      <c r="K46" s="31" t="str">
        <f>IFERROR(VLOOKUP(MUESTREO_LABORAL_A2[[#This Row],[ACTIVIDAD]],'Lista Maestra'!$D$6:$F$190,2,0),"")</f>
        <v>ELABORACIÓN DE CERTIFICADOS PARA PRODUCTORES SEGÚN LOS MESES SOLICITADOS, INCLUYENDO EL DETALLE DE DAE, NÚMERO DE FACTURA DE VENTA, CANTIDAD DE CAJAS EXPORTADAS, FECHA DE CIERRE DE LAS DAE, VALOR TOTAL EN USD Y FACTURA DE COMPRA DEL PROVEEDOR.</v>
      </c>
      <c r="L46" s="17" t="s">
        <v>22</v>
      </c>
      <c r="M46" s="17"/>
      <c r="N46" s="5">
        <v>0.5625</v>
      </c>
      <c r="O46" s="5">
        <v>0.60416666666666663</v>
      </c>
      <c r="P46" s="7">
        <f>IF(MUESTREO_LABORAL_A2[[#This Row],[TIEMPO INICIO]]="","",(MUESTREO_LABORAL_A2[[#This Row],[TIEMPO FIN]]-MUESTREO_LABORAL_A2[[#This Row],[TIEMPO INICIO]])*24)</f>
        <v>0.99999999999999911</v>
      </c>
      <c r="Q46" s="32" t="s">
        <v>62</v>
      </c>
      <c r="R46" s="12"/>
    </row>
    <row r="47" spans="2:18" ht="28.95" customHeight="1" x14ac:dyDescent="0.3">
      <c r="B47" s="2" t="s">
        <v>17</v>
      </c>
      <c r="C47" s="2" t="s">
        <v>18</v>
      </c>
      <c r="D47" s="8" t="s">
        <v>19</v>
      </c>
      <c r="E47" s="2" t="s">
        <v>20</v>
      </c>
      <c r="F47" s="4">
        <v>45975</v>
      </c>
      <c r="H47" s="2"/>
      <c r="I47" s="17" t="s">
        <v>63</v>
      </c>
      <c r="J47" s="31" t="str">
        <f>IFERROR(VLOOKUP(MUESTREO_LABORAL_A2[[#This Row],[ACTIVIDAD]],'Lista Maestra'!$D$6:$F$190,3,0),"")</f>
        <v>ANÁLISIS DE CUENTAS</v>
      </c>
      <c r="K47" s="31" t="str">
        <f>IFERROR(VLOOKUP(MUESTREO_LABORAL_A2[[#This Row],[ACTIVIDAD]],'Lista Maestra'!$D$6:$F$190,2,0),"")</f>
        <v>SE REALIZA LA GESTIÓN CONTABLE Y CLASIFICACIÓN DE CUENTAS FINANCIERAS, MEDIANTE LA REVISIÓN, ANÁLISIS Y REGISTRO DE LOS MOVIMIENTOS CONTABLES EN EL SISTEMA. SE CLASIFICAN LAS TRANSACCIONES SEGÚN SU NATURALEZA (ACTIVOS, PASIVOS, INGRESOS Y GASTOS)</v>
      </c>
      <c r="L47" s="17" t="s">
        <v>22</v>
      </c>
      <c r="M47" s="17"/>
      <c r="N47" s="5">
        <v>0.60416666666666663</v>
      </c>
      <c r="O47" s="5">
        <v>0.625</v>
      </c>
      <c r="P47" s="7">
        <f>IF(MUESTREO_LABORAL_A2[[#This Row],[TIEMPO INICIO]]="","",(MUESTREO_LABORAL_A2[[#This Row],[TIEMPO FIN]]-MUESTREO_LABORAL_A2[[#This Row],[TIEMPO INICIO]])*24)</f>
        <v>0.50000000000000089</v>
      </c>
      <c r="Q47" s="32"/>
      <c r="R47" s="12"/>
    </row>
    <row r="48" spans="2:18" ht="82.95" customHeight="1" x14ac:dyDescent="0.3">
      <c r="B48" s="2" t="s">
        <v>64</v>
      </c>
      <c r="C48" s="2" t="s">
        <v>65</v>
      </c>
      <c r="D48" s="2" t="s">
        <v>66</v>
      </c>
      <c r="E48" s="2" t="s">
        <v>67</v>
      </c>
      <c r="F48" s="4">
        <v>45978</v>
      </c>
      <c r="H48" s="2"/>
      <c r="I48" s="17" t="s">
        <v>68</v>
      </c>
      <c r="J48" s="31" t="str">
        <f>IFERROR(VLOOKUP(MUESTREO_LABORAL_A2[[#This Row],[ACTIVIDAD]],'Lista Maestra'!$D$6:$F$190,3,0),"")</f>
        <v>RECEPCIÓN DE SOLICITUD DE TRANSPORTE</v>
      </c>
      <c r="K48" s="31" t="str">
        <f>IFERROR(VLOOKUP(MUESTREO_LABORAL_A2[[#This Row],[ACTIVIDAD]],'Lista Maestra'!$D$6:$F$190,2,0),"")</f>
        <v>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v>
      </c>
      <c r="L48" s="17" t="s">
        <v>22</v>
      </c>
      <c r="M48" s="17"/>
      <c r="N48" s="5">
        <v>0.35416666666666669</v>
      </c>
      <c r="O48" s="5">
        <v>0.46458333333333329</v>
      </c>
      <c r="P48" s="7">
        <f>IF(MUESTREO_LABORAL_A2[[#This Row],[TIEMPO INICIO]]="","",(MUESTREO_LABORAL_A2[[#This Row],[TIEMPO FIN]]-MUESTREO_LABORAL_A2[[#This Row],[TIEMPO INICIO]])*24)</f>
        <v>2.6499999999999986</v>
      </c>
      <c r="Q48" s="32" t="s">
        <v>69</v>
      </c>
      <c r="R48" s="12"/>
    </row>
    <row r="49" spans="2:18" x14ac:dyDescent="0.3">
      <c r="B49" s="2" t="s">
        <v>64</v>
      </c>
      <c r="C49" s="2" t="s">
        <v>65</v>
      </c>
      <c r="D49" s="2" t="s">
        <v>66</v>
      </c>
      <c r="E49" s="2" t="s">
        <v>67</v>
      </c>
      <c r="F49" s="4">
        <v>45978</v>
      </c>
      <c r="H49" s="2"/>
      <c r="I49" s="17" t="s">
        <v>70</v>
      </c>
      <c r="J49" s="31" t="str">
        <f>IFERROR(VLOOKUP(MUESTREO_LABORAL_A2[[#This Row],[ACTIVIDAD]],'Lista Maestra'!$D$6:$F$190,3,0),"")</f>
        <v>PLANIFICACIÓN</v>
      </c>
      <c r="K49" s="31">
        <f>IFERROR(VLOOKUP(MUESTREO_LABORAL_A2[[#This Row],[ACTIVIDAD]],'Lista Maestra'!$D$6:$F$190,2,0),"")</f>
        <v>0</v>
      </c>
      <c r="L49" s="17" t="s">
        <v>22</v>
      </c>
      <c r="M49" s="17"/>
      <c r="N49" s="5">
        <v>0.46458333333333329</v>
      </c>
      <c r="O49" s="5">
        <v>0.47013888888888888</v>
      </c>
      <c r="P49" s="7">
        <f>IF(MUESTREO_LABORAL_A2[[#This Row],[TIEMPO INICIO]]="","",(MUESTREO_LABORAL_A2[[#This Row],[TIEMPO FIN]]-MUESTREO_LABORAL_A2[[#This Row],[TIEMPO INICIO]])*24)</f>
        <v>0.13333333333333419</v>
      </c>
      <c r="Q49" s="32"/>
      <c r="R49" s="12"/>
    </row>
    <row r="50" spans="2:18" x14ac:dyDescent="0.3">
      <c r="B50" s="2" t="s">
        <v>64</v>
      </c>
      <c r="C50" s="2" t="s">
        <v>65</v>
      </c>
      <c r="D50" s="2" t="s">
        <v>66</v>
      </c>
      <c r="E50" s="2" t="s">
        <v>67</v>
      </c>
      <c r="F50" s="4">
        <v>45978</v>
      </c>
      <c r="H50" s="2"/>
      <c r="I50" s="17" t="s">
        <v>71</v>
      </c>
      <c r="J50" s="31" t="str">
        <f>IFERROR(VLOOKUP(MUESTREO_LABORAL_A2[[#This Row],[ACTIVIDAD]],'Lista Maestra'!$D$6:$F$190,3,0),"")</f>
        <v>PLANIFICACIÓN</v>
      </c>
      <c r="K50" s="31">
        <f>IFERROR(VLOOKUP(MUESTREO_LABORAL_A2[[#This Row],[ACTIVIDAD]],'Lista Maestra'!$D$6:$F$190,2,0),"")</f>
        <v>0</v>
      </c>
      <c r="L50" s="17" t="s">
        <v>22</v>
      </c>
      <c r="M50" s="17"/>
      <c r="N50" s="5">
        <v>0.47013888888888888</v>
      </c>
      <c r="O50" s="5">
        <v>0.47361111111111109</v>
      </c>
      <c r="P50" s="7">
        <f>IF(MUESTREO_LABORAL_A2[[#This Row],[TIEMPO INICIO]]="","",(MUESTREO_LABORAL_A2[[#This Row],[TIEMPO FIN]]-MUESTREO_LABORAL_A2[[#This Row],[TIEMPO INICIO]])*24)</f>
        <v>8.3333333333333037E-2</v>
      </c>
      <c r="Q50" s="32"/>
      <c r="R50" s="12"/>
    </row>
    <row r="51" spans="2:18" x14ac:dyDescent="0.3">
      <c r="B51" s="2" t="s">
        <v>64</v>
      </c>
      <c r="C51" s="2" t="s">
        <v>65</v>
      </c>
      <c r="D51" s="2" t="s">
        <v>66</v>
      </c>
      <c r="E51" s="2" t="s">
        <v>67</v>
      </c>
      <c r="F51" s="4">
        <v>45978</v>
      </c>
      <c r="H51" s="2"/>
      <c r="I51" s="17" t="s">
        <v>72</v>
      </c>
      <c r="J51" s="31" t="str">
        <f>IFERROR(VLOOKUP(MUESTREO_LABORAL_A2[[#This Row],[ACTIVIDAD]],'Lista Maestra'!$D$6:$F$190,3,0),"")</f>
        <v>PLANIFICACIÓN</v>
      </c>
      <c r="K51" s="31">
        <f>IFERROR(VLOOKUP(MUESTREO_LABORAL_A2[[#This Row],[ACTIVIDAD]],'Lista Maestra'!$D$6:$F$190,2,0),"")</f>
        <v>0</v>
      </c>
      <c r="L51" s="17" t="s">
        <v>22</v>
      </c>
      <c r="M51" s="17"/>
      <c r="N51" s="5">
        <v>0.47361111111111109</v>
      </c>
      <c r="O51" s="5">
        <v>0.47916666666666669</v>
      </c>
      <c r="P51" s="7">
        <f>IF(MUESTREO_LABORAL_A2[[#This Row],[TIEMPO INICIO]]="","",(MUESTREO_LABORAL_A2[[#This Row],[TIEMPO FIN]]-MUESTREO_LABORAL_A2[[#This Row],[TIEMPO INICIO]])*24)</f>
        <v>0.13333333333333419</v>
      </c>
      <c r="Q51" s="32"/>
      <c r="R51" s="12"/>
    </row>
    <row r="52" spans="2:18" ht="82.95" customHeight="1" x14ac:dyDescent="0.3">
      <c r="B52" s="2" t="s">
        <v>64</v>
      </c>
      <c r="C52" s="2" t="s">
        <v>65</v>
      </c>
      <c r="D52" s="2" t="s">
        <v>66</v>
      </c>
      <c r="E52" s="2" t="s">
        <v>67</v>
      </c>
      <c r="F52" s="4">
        <v>45978</v>
      </c>
      <c r="H52" s="2"/>
      <c r="I52" s="17" t="s">
        <v>68</v>
      </c>
      <c r="J52" s="31" t="str">
        <f>IFERROR(VLOOKUP(MUESTREO_LABORAL_A2[[#This Row],[ACTIVIDAD]],'Lista Maestra'!$D$6:$F$190,3,0),"")</f>
        <v>RECEPCIÓN DE SOLICITUD DE TRANSPORTE</v>
      </c>
      <c r="K52" s="31" t="str">
        <f>IFERROR(VLOOKUP(MUESTREO_LABORAL_A2[[#This Row],[ACTIVIDAD]],'Lista Maestra'!$D$6:$F$190,2,0),"")</f>
        <v>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v>
      </c>
      <c r="L52" s="17" t="s">
        <v>22</v>
      </c>
      <c r="M52" s="17"/>
      <c r="N52" s="5">
        <v>0.47916666666666669</v>
      </c>
      <c r="O52" s="5">
        <v>0.53333333333333333</v>
      </c>
      <c r="P52" s="7">
        <f>IF(MUESTREO_LABORAL_A2[[#This Row],[TIEMPO INICIO]]="","",(MUESTREO_LABORAL_A2[[#This Row],[TIEMPO FIN]]-MUESTREO_LABORAL_A2[[#This Row],[TIEMPO INICIO]])*24)</f>
        <v>1.2999999999999994</v>
      </c>
      <c r="Q52" s="32"/>
      <c r="R52" s="12"/>
    </row>
    <row r="53" spans="2:18" x14ac:dyDescent="0.3">
      <c r="B53" s="2" t="s">
        <v>64</v>
      </c>
      <c r="C53" s="2" t="s">
        <v>65</v>
      </c>
      <c r="D53" s="2" t="s">
        <v>66</v>
      </c>
      <c r="E53" s="2" t="s">
        <v>67</v>
      </c>
      <c r="F53" s="4">
        <v>45978</v>
      </c>
      <c r="H53" s="8"/>
      <c r="I53" s="8" t="s">
        <v>33</v>
      </c>
      <c r="J53" s="31" t="str">
        <f>IFERROR(VLOOKUP(MUESTREO_LABORAL_A2[[#This Row],[ACTIVIDAD]],'Lista Maestra'!$D$6:$F$190,3,0),"")</f>
        <v>ALIMENTACIÓN</v>
      </c>
      <c r="K53" s="31" t="str">
        <f>IFERROR(VLOOKUP(MUESTREO_LABORAL_A2[[#This Row],[ACTIVIDAD]],'Lista Maestra'!$D$6:$F$190,2,0),"")</f>
        <v>ALIMENTARSE</v>
      </c>
      <c r="L53" s="2" t="s">
        <v>33</v>
      </c>
      <c r="M53" s="2"/>
      <c r="N53" s="10">
        <v>0.53333333333333333</v>
      </c>
      <c r="O53" s="10">
        <v>0.55555555555555558</v>
      </c>
      <c r="P53" s="7">
        <f>IF(MUESTREO_LABORAL_A2[[#This Row],[TIEMPO INICIO]]="","",(MUESTREO_LABORAL_A2[[#This Row],[TIEMPO FIN]]-MUESTREO_LABORAL_A2[[#This Row],[TIEMPO INICIO]])*24)</f>
        <v>0.5333333333333341</v>
      </c>
      <c r="Q53" s="43" t="s">
        <v>73</v>
      </c>
      <c r="R53" s="12"/>
    </row>
    <row r="54" spans="2:18" ht="82.95" customHeight="1" x14ac:dyDescent="0.3">
      <c r="B54" s="2" t="s">
        <v>64</v>
      </c>
      <c r="C54" s="2" t="s">
        <v>65</v>
      </c>
      <c r="D54" s="2" t="s">
        <v>66</v>
      </c>
      <c r="E54" s="2" t="s">
        <v>67</v>
      </c>
      <c r="F54" s="4">
        <v>45978</v>
      </c>
      <c r="G54" s="8"/>
      <c r="H54" s="8"/>
      <c r="I54" s="8" t="s">
        <v>68</v>
      </c>
      <c r="J54" s="31" t="str">
        <f>IFERROR(VLOOKUP(MUESTREO_LABORAL_A2[[#This Row],[ACTIVIDAD]],'Lista Maestra'!$D$6:$F$190,3,0),"")</f>
        <v>RECEPCIÓN DE SOLICITUD DE TRANSPORTE</v>
      </c>
      <c r="K54" s="31" t="str">
        <f>IFERROR(VLOOKUP(MUESTREO_LABORAL_A2[[#This Row],[ACTIVIDAD]],'Lista Maestra'!$D$6:$F$190,2,0),"")</f>
        <v>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v>
      </c>
      <c r="L54" s="8" t="s">
        <v>22</v>
      </c>
      <c r="M54" s="8"/>
      <c r="N54" s="11">
        <v>0.55555555555555558</v>
      </c>
      <c r="O54" s="11">
        <v>0.57222222222222219</v>
      </c>
      <c r="P54" s="7">
        <f>IF(MUESTREO_LABORAL_A2[[#This Row],[TIEMPO INICIO]]="","",(MUESTREO_LABORAL_A2[[#This Row],[TIEMPO FIN]]-MUESTREO_LABORAL_A2[[#This Row],[TIEMPO INICIO]])*24)</f>
        <v>0.39999999999999858</v>
      </c>
      <c r="Q54" s="12" t="s">
        <v>74</v>
      </c>
      <c r="R54" s="12"/>
    </row>
    <row r="55" spans="2:18" ht="27.6" customHeight="1" x14ac:dyDescent="0.3">
      <c r="B55" s="2" t="s">
        <v>64</v>
      </c>
      <c r="C55" s="2" t="s">
        <v>65</v>
      </c>
      <c r="D55" s="2" t="s">
        <v>66</v>
      </c>
      <c r="E55" s="2" t="s">
        <v>67</v>
      </c>
      <c r="F55" s="4">
        <v>45978</v>
      </c>
      <c r="G55" s="8"/>
      <c r="H55" s="8"/>
      <c r="I55" s="8" t="s">
        <v>75</v>
      </c>
      <c r="J55" s="31" t="str">
        <f>IFERROR(VLOOKUP(MUESTREO_LABORAL_A2[[#This Row],[ACTIVIDAD]],'Lista Maestra'!$D$6:$F$190,3,0),"")</f>
        <v>CONSOLIDACIÓN</v>
      </c>
      <c r="K55" s="31" t="str">
        <f>IFERROR(VLOOKUP(MUESTREO_LABORAL_A2[[#This Row],[ACTIVIDAD]],'Lista Maestra'!$D$6:$F$190,2,0),"")</f>
        <v>REVISIÓN KILOMETRAJE DE LOS VEHÍCULOS DE SMART DE LA SEMANA ANTERIOR.</v>
      </c>
      <c r="L55" s="8" t="s">
        <v>22</v>
      </c>
      <c r="M55" s="8"/>
      <c r="N55" s="11">
        <v>0.57222222222222219</v>
      </c>
      <c r="O55" s="11">
        <v>0.61388888888888893</v>
      </c>
      <c r="P55" s="7">
        <f>IF(MUESTREO_LABORAL_A2[[#This Row],[TIEMPO INICIO]]="","",(MUESTREO_LABORAL_A2[[#This Row],[TIEMPO FIN]]-MUESTREO_LABORAL_A2[[#This Row],[TIEMPO INICIO]])*24)</f>
        <v>1.0000000000000018</v>
      </c>
      <c r="Q55" s="12" t="s">
        <v>76</v>
      </c>
      <c r="R55" s="12"/>
    </row>
    <row r="56" spans="2:18" ht="82.95" customHeight="1" x14ac:dyDescent="0.3">
      <c r="B56" s="2" t="s">
        <v>64</v>
      </c>
      <c r="C56" s="2" t="s">
        <v>65</v>
      </c>
      <c r="D56" s="2" t="s">
        <v>66</v>
      </c>
      <c r="E56" s="2" t="s">
        <v>67</v>
      </c>
      <c r="F56" s="4">
        <v>45978</v>
      </c>
      <c r="G56" s="8"/>
      <c r="H56" s="8"/>
      <c r="I56" s="8" t="s">
        <v>68</v>
      </c>
      <c r="J56" s="31" t="str">
        <f>IFERROR(VLOOKUP(MUESTREO_LABORAL_A2[[#This Row],[ACTIVIDAD]],'Lista Maestra'!$D$6:$F$190,3,0),"")</f>
        <v>RECEPCIÓN DE SOLICITUD DE TRANSPORTE</v>
      </c>
      <c r="K56" s="31" t="str">
        <f>IFERROR(VLOOKUP(MUESTREO_LABORAL_A2[[#This Row],[ACTIVIDAD]],'Lista Maestra'!$D$6:$F$190,2,0),"")</f>
        <v>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v>
      </c>
      <c r="L56" s="8" t="s">
        <v>22</v>
      </c>
      <c r="M56" s="8"/>
      <c r="N56" s="11">
        <v>0.61388888888888893</v>
      </c>
      <c r="O56" s="11">
        <v>0.68333333333333335</v>
      </c>
      <c r="P56" s="7">
        <f>IF(MUESTREO_LABORAL_A2[[#This Row],[TIEMPO INICIO]]="","",(MUESTREO_LABORAL_A2[[#This Row],[TIEMPO FIN]]-MUESTREO_LABORAL_A2[[#This Row],[TIEMPO INICIO]])*24)</f>
        <v>1.6666666666666661</v>
      </c>
      <c r="Q56" s="12" t="s">
        <v>77</v>
      </c>
      <c r="R56" s="12"/>
    </row>
    <row r="57" spans="2:18" x14ac:dyDescent="0.3">
      <c r="B57" s="2" t="s">
        <v>64</v>
      </c>
      <c r="C57" s="2" t="s">
        <v>65</v>
      </c>
      <c r="D57" s="2" t="s">
        <v>66</v>
      </c>
      <c r="E57" s="2" t="s">
        <v>67</v>
      </c>
      <c r="F57" s="4">
        <v>45978</v>
      </c>
      <c r="G57" s="8"/>
      <c r="H57" s="8"/>
      <c r="I57" s="8" t="s">
        <v>78</v>
      </c>
      <c r="J57" s="31" t="str">
        <f>IFERROR(VLOOKUP(MUESTREO_LABORAL_A2[[#This Row],[ACTIVIDAD]],'Lista Maestra'!$D$6:$F$190,3,0),"")</f>
        <v>PLANIFICACIÓN</v>
      </c>
      <c r="K57" s="31" t="str">
        <f>IFERROR(VLOOKUP(MUESTREO_LABORAL_A2[[#This Row],[ACTIVIDAD]],'Lista Maestra'!$D$6:$F$190,2,0),"")</f>
        <v>REVISIÓN DE CAMBIOS. LISTA DE ACOPIOS.</v>
      </c>
      <c r="L57" s="8" t="s">
        <v>22</v>
      </c>
      <c r="M57" s="8"/>
      <c r="N57" s="11">
        <v>0.68333333333333335</v>
      </c>
      <c r="O57" s="11">
        <v>0.69027777777777777</v>
      </c>
      <c r="P57" s="7">
        <f>IF(MUESTREO_LABORAL_A2[[#This Row],[TIEMPO INICIO]]="","",(MUESTREO_LABORAL_A2[[#This Row],[TIEMPO FIN]]-MUESTREO_LABORAL_A2[[#This Row],[TIEMPO INICIO]])*24)</f>
        <v>0.16666666666666607</v>
      </c>
      <c r="Q57" s="12"/>
      <c r="R57" s="12"/>
    </row>
    <row r="58" spans="2:18" ht="28.8" customHeight="1" x14ac:dyDescent="0.3">
      <c r="B58" s="2" t="s">
        <v>64</v>
      </c>
      <c r="C58" s="2" t="s">
        <v>65</v>
      </c>
      <c r="D58" s="2" t="s">
        <v>66</v>
      </c>
      <c r="E58" s="2" t="s">
        <v>67</v>
      </c>
      <c r="F58" s="4">
        <v>45979</v>
      </c>
      <c r="G58" s="8"/>
      <c r="H58" s="8"/>
      <c r="I58" s="8" t="s">
        <v>79</v>
      </c>
      <c r="J58" s="31" t="str">
        <f>IFERROR(VLOOKUP(MUESTREO_LABORAL_A2[[#This Row],[ACTIVIDAD]],'Lista Maestra'!$D$6:$F$190,3,0),"")</f>
        <v>PLANIFICACIÓN</v>
      </c>
      <c r="K58" s="31">
        <f>IFERROR(VLOOKUP(MUESTREO_LABORAL_A2[[#This Row],[ACTIVIDAD]],'Lista Maestra'!$D$6:$F$190,2,0),"")</f>
        <v>0</v>
      </c>
      <c r="L58" s="8" t="s">
        <v>22</v>
      </c>
      <c r="M58" s="8"/>
      <c r="N58" s="11">
        <v>0.35416666666666669</v>
      </c>
      <c r="O58" s="11">
        <v>0.42569444444444438</v>
      </c>
      <c r="P58" s="7">
        <f>IF(MUESTREO_LABORAL_A2[[#This Row],[TIEMPO INICIO]]="","",(MUESTREO_LABORAL_A2[[#This Row],[TIEMPO FIN]]-MUESTREO_LABORAL_A2[[#This Row],[TIEMPO INICIO]])*24)</f>
        <v>1.7166666666666646</v>
      </c>
      <c r="Q58" s="12" t="s">
        <v>80</v>
      </c>
      <c r="R58" s="12"/>
    </row>
    <row r="59" spans="2:18" ht="43.2" customHeight="1" x14ac:dyDescent="0.3">
      <c r="B59" s="2" t="s">
        <v>64</v>
      </c>
      <c r="C59" s="2" t="s">
        <v>65</v>
      </c>
      <c r="D59" s="2" t="s">
        <v>66</v>
      </c>
      <c r="E59" s="2" t="s">
        <v>67</v>
      </c>
      <c r="F59" s="4">
        <v>45979</v>
      </c>
      <c r="G59" s="8"/>
      <c r="H59" s="8"/>
      <c r="I59" s="8" t="s">
        <v>70</v>
      </c>
      <c r="J59" s="31" t="str">
        <f>IFERROR(VLOOKUP(MUESTREO_LABORAL_A2[[#This Row],[ACTIVIDAD]],'Lista Maestra'!$D$6:$F$190,3,0),"")</f>
        <v>PLANIFICACIÓN</v>
      </c>
      <c r="K59" s="31">
        <f>IFERROR(VLOOKUP(MUESTREO_LABORAL_A2[[#This Row],[ACTIVIDAD]],'Lista Maestra'!$D$6:$F$190,2,0),"")</f>
        <v>0</v>
      </c>
      <c r="L59" s="8" t="s">
        <v>22</v>
      </c>
      <c r="M59" s="8"/>
      <c r="N59" s="11">
        <v>0.42569444444444438</v>
      </c>
      <c r="O59" s="11">
        <v>0.4375</v>
      </c>
      <c r="P59" s="7">
        <f>IF(MUESTREO_LABORAL_A2[[#This Row],[TIEMPO INICIO]]="","",(MUESTREO_LABORAL_A2[[#This Row],[TIEMPO FIN]]-MUESTREO_LABORAL_A2[[#This Row],[TIEMPO INICIO]])*24)</f>
        <v>0.28333333333333499</v>
      </c>
      <c r="Q59" s="12" t="s">
        <v>81</v>
      </c>
      <c r="R59" s="12"/>
    </row>
    <row r="60" spans="2:18" x14ac:dyDescent="0.3">
      <c r="B60" s="2" t="s">
        <v>64</v>
      </c>
      <c r="C60" s="2" t="s">
        <v>65</v>
      </c>
      <c r="D60" s="2" t="s">
        <v>66</v>
      </c>
      <c r="E60" s="2" t="s">
        <v>67</v>
      </c>
      <c r="F60" s="4">
        <v>45979</v>
      </c>
      <c r="G60" s="8"/>
      <c r="H60" s="8"/>
      <c r="I60" s="8" t="s">
        <v>82</v>
      </c>
      <c r="J60" s="31" t="str">
        <f>IFERROR(VLOOKUP(MUESTREO_LABORAL_A2[[#This Row],[ACTIVIDAD]],'Lista Maestra'!$D$6:$F$190,3,0),"")</f>
        <v>PLANIFICACIÓN</v>
      </c>
      <c r="K60" s="31">
        <f>IFERROR(VLOOKUP(MUESTREO_LABORAL_A2[[#This Row],[ACTIVIDAD]],'Lista Maestra'!$D$6:$F$190,2,0),"")</f>
        <v>0</v>
      </c>
      <c r="L60" s="8" t="s">
        <v>22</v>
      </c>
      <c r="M60" s="8"/>
      <c r="N60" s="11">
        <v>0.4375</v>
      </c>
      <c r="O60" s="11">
        <v>0.44374999999999998</v>
      </c>
      <c r="P60" s="7">
        <f>IF(MUESTREO_LABORAL_A2[[#This Row],[TIEMPO INICIO]]="","",(MUESTREO_LABORAL_A2[[#This Row],[TIEMPO FIN]]-MUESTREO_LABORAL_A2[[#This Row],[TIEMPO INICIO]])*24)</f>
        <v>0.14999999999999947</v>
      </c>
      <c r="Q60" s="12"/>
      <c r="R60" s="12"/>
    </row>
    <row r="61" spans="2:18" ht="82.95" customHeight="1" x14ac:dyDescent="0.3">
      <c r="B61" s="2" t="s">
        <v>64</v>
      </c>
      <c r="C61" s="2" t="s">
        <v>65</v>
      </c>
      <c r="D61" s="2" t="s">
        <v>66</v>
      </c>
      <c r="E61" s="2" t="s">
        <v>67</v>
      </c>
      <c r="F61" s="4">
        <v>45979</v>
      </c>
      <c r="G61" s="8"/>
      <c r="H61" s="8"/>
      <c r="I61" s="8" t="s">
        <v>68</v>
      </c>
      <c r="J61" s="31" t="str">
        <f>IFERROR(VLOOKUP(MUESTREO_LABORAL_A2[[#This Row],[ACTIVIDAD]],'Lista Maestra'!$D$6:$F$190,3,0),"")</f>
        <v>RECEPCIÓN DE SOLICITUD DE TRANSPORTE</v>
      </c>
      <c r="K61" s="31" t="str">
        <f>IFERROR(VLOOKUP(MUESTREO_LABORAL_A2[[#This Row],[ACTIVIDAD]],'Lista Maestra'!$D$6:$F$190,2,0),"")</f>
        <v>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v>
      </c>
      <c r="L61" s="8" t="s">
        <v>22</v>
      </c>
      <c r="M61" s="8"/>
      <c r="N61" s="11">
        <v>0.44374999999999998</v>
      </c>
      <c r="O61" s="11">
        <v>0.51944444444444449</v>
      </c>
      <c r="P61" s="7">
        <f>IF(MUESTREO_LABORAL_A2[[#This Row],[TIEMPO INICIO]]="","",(MUESTREO_LABORAL_A2[[#This Row],[TIEMPO FIN]]-MUESTREO_LABORAL_A2[[#This Row],[TIEMPO INICIO]])*24)</f>
        <v>1.8166666666666682</v>
      </c>
      <c r="Q61" s="12" t="s">
        <v>83</v>
      </c>
      <c r="R61" s="12"/>
    </row>
    <row r="62" spans="2:18" ht="57.6" customHeight="1" x14ac:dyDescent="0.3">
      <c r="B62" s="2" t="s">
        <v>64</v>
      </c>
      <c r="C62" s="2" t="s">
        <v>65</v>
      </c>
      <c r="D62" s="2" t="s">
        <v>66</v>
      </c>
      <c r="E62" s="2" t="s">
        <v>67</v>
      </c>
      <c r="F62" s="4">
        <v>45979</v>
      </c>
      <c r="G62" s="8"/>
      <c r="H62" s="8"/>
      <c r="I62" s="8" t="s">
        <v>26</v>
      </c>
      <c r="J62" s="31" t="str">
        <f>IFERROR(VLOOKUP(MUESTREO_LABORAL_A2[[#This Row],[ACTIVIDAD]],'Lista Maestra'!$D$6:$F$190,3,0),"")</f>
        <v>NECESIDADES BIOLÓGICAS</v>
      </c>
      <c r="K62" s="31" t="str">
        <f>IFERROR(VLOOKUP(MUESTREO_LABORAL_A2[[#This Row],[ACTIVIDAD]],'Lista Maestra'!$D$6:$F$190,2,0),"")</f>
        <v>PROCESO DE MICCIÓN Y AGREGADOS</v>
      </c>
      <c r="L62" s="8"/>
      <c r="M62" s="8"/>
      <c r="N62" s="11">
        <v>0.51944444444444449</v>
      </c>
      <c r="O62" s="11">
        <v>0.52777777777777779</v>
      </c>
      <c r="P62" s="7">
        <f>IF(MUESTREO_LABORAL_A2[[#This Row],[TIEMPO INICIO]]="","",(MUESTREO_LABORAL_A2[[#This Row],[TIEMPO FIN]]-MUESTREO_LABORAL_A2[[#This Row],[TIEMPO INICIO]])*24)</f>
        <v>0.19999999999999929</v>
      </c>
      <c r="Q62" s="12" t="s">
        <v>84</v>
      </c>
      <c r="R62" s="12"/>
    </row>
    <row r="63" spans="2:18" x14ac:dyDescent="0.3">
      <c r="B63" s="2" t="s">
        <v>64</v>
      </c>
      <c r="C63" s="2" t="s">
        <v>65</v>
      </c>
      <c r="D63" s="2" t="s">
        <v>66</v>
      </c>
      <c r="E63" s="2" t="s">
        <v>67</v>
      </c>
      <c r="F63" s="4">
        <v>45979</v>
      </c>
      <c r="G63" s="8"/>
      <c r="H63" s="8"/>
      <c r="I63" s="8" t="s">
        <v>33</v>
      </c>
      <c r="J63" s="31" t="str">
        <f>IFERROR(VLOOKUP(MUESTREO_LABORAL_A2[[#This Row],[ACTIVIDAD]],'Lista Maestra'!$D$6:$F$190,3,0),"")</f>
        <v>ALIMENTACIÓN</v>
      </c>
      <c r="K63" s="31" t="str">
        <f>IFERROR(VLOOKUP(MUESTREO_LABORAL_A2[[#This Row],[ACTIVIDAD]],'Lista Maestra'!$D$6:$F$190,2,0),"")</f>
        <v>ALIMENTARSE</v>
      </c>
      <c r="L63" s="8"/>
      <c r="M63" s="8"/>
      <c r="N63" s="11">
        <v>0.52777777777777779</v>
      </c>
      <c r="O63" s="11">
        <v>0.5493055555555556</v>
      </c>
      <c r="P63" s="7">
        <f>IF(MUESTREO_LABORAL_A2[[#This Row],[TIEMPO INICIO]]="","",(MUESTREO_LABORAL_A2[[#This Row],[TIEMPO FIN]]-MUESTREO_LABORAL_A2[[#This Row],[TIEMPO INICIO]])*24)</f>
        <v>0.5166666666666675</v>
      </c>
      <c r="Q63" s="12"/>
      <c r="R63" s="12"/>
    </row>
    <row r="64" spans="2:18" ht="100.95" customHeight="1" x14ac:dyDescent="0.3">
      <c r="B64" s="2" t="s">
        <v>64</v>
      </c>
      <c r="C64" s="2" t="s">
        <v>65</v>
      </c>
      <c r="D64" s="2" t="s">
        <v>66</v>
      </c>
      <c r="E64" s="2" t="s">
        <v>67</v>
      </c>
      <c r="F64" s="4">
        <v>45979</v>
      </c>
      <c r="G64" s="8"/>
      <c r="H64" s="8"/>
      <c r="I64" s="8" t="s">
        <v>85</v>
      </c>
      <c r="J64" s="31" t="str">
        <f>IFERROR(VLOOKUP(MUESTREO_LABORAL_A2[[#This Row],[ACTIVIDAD]],'Lista Maestra'!$D$6:$F$190,3,0),"")</f>
        <v>CONSOLIDACIÓN</v>
      </c>
      <c r="K64" s="31">
        <f>IFERROR(VLOOKUP(MUESTREO_LABORAL_A2[[#This Row],[ACTIVIDAD]],'Lista Maestra'!$D$6:$F$190,2,0),"")</f>
        <v>0</v>
      </c>
      <c r="L64" s="8" t="s">
        <v>22</v>
      </c>
      <c r="M64" s="8"/>
      <c r="N64" s="11">
        <v>0.5493055555555556</v>
      </c>
      <c r="O64" s="11">
        <v>0.59097222222222223</v>
      </c>
      <c r="P64" s="7">
        <f>IF(MUESTREO_LABORAL_A2[[#This Row],[TIEMPO INICIO]]="","",(MUESTREO_LABORAL_A2[[#This Row],[TIEMPO FIN]]-MUESTREO_LABORAL_A2[[#This Row],[TIEMPO INICIO]])*24)</f>
        <v>0.99999999999999911</v>
      </c>
      <c r="Q64" s="12" t="s">
        <v>86</v>
      </c>
      <c r="R64" s="12"/>
    </row>
    <row r="65" spans="2:18" ht="100.95" customHeight="1" x14ac:dyDescent="0.3">
      <c r="B65" s="2" t="s">
        <v>64</v>
      </c>
      <c r="C65" s="2" t="s">
        <v>65</v>
      </c>
      <c r="D65" s="2" t="s">
        <v>66</v>
      </c>
      <c r="E65" s="2" t="s">
        <v>67</v>
      </c>
      <c r="F65" s="4">
        <v>45979</v>
      </c>
      <c r="G65" s="8"/>
      <c r="H65" s="8"/>
      <c r="I65" s="8" t="s">
        <v>87</v>
      </c>
      <c r="J65" s="31" t="str">
        <f>IFERROR(VLOOKUP(MUESTREO_LABORAL_A2[[#This Row],[ACTIVIDAD]],'Lista Maestra'!$D$6:$F$190,3,0),"")</f>
        <v/>
      </c>
      <c r="K65" s="31" t="str">
        <f>IFERROR(VLOOKUP(MUESTREO_LABORAL_A2[[#This Row],[ACTIVIDAD]],'Lista Maestra'!$D$6:$F$190,2,0),"")</f>
        <v/>
      </c>
      <c r="L65" s="8" t="s">
        <v>22</v>
      </c>
      <c r="M65" s="8"/>
      <c r="N65" s="11">
        <v>0.59097222222222223</v>
      </c>
      <c r="O65" s="11">
        <v>0.61597222222222225</v>
      </c>
      <c r="P65" s="7">
        <f>IF(MUESTREO_LABORAL_A2[[#This Row],[TIEMPO INICIO]]="","",(MUESTREO_LABORAL_A2[[#This Row],[TIEMPO FIN]]-MUESTREO_LABORAL_A2[[#This Row],[TIEMPO INICIO]])*24)</f>
        <v>0.60000000000000053</v>
      </c>
      <c r="Q65" s="12" t="s">
        <v>88</v>
      </c>
      <c r="R65" s="12"/>
    </row>
    <row r="66" spans="2:18" ht="57.6" customHeight="1" x14ac:dyDescent="0.3">
      <c r="B66" s="2" t="s">
        <v>64</v>
      </c>
      <c r="C66" s="2" t="s">
        <v>65</v>
      </c>
      <c r="D66" s="2" t="s">
        <v>66</v>
      </c>
      <c r="E66" s="2" t="s">
        <v>67</v>
      </c>
      <c r="F66" s="4">
        <v>45979</v>
      </c>
      <c r="G66" s="8"/>
      <c r="H66" s="8"/>
      <c r="I66" s="8" t="s">
        <v>89</v>
      </c>
      <c r="J66" s="31" t="str">
        <f>IFERROR(VLOOKUP(MUESTREO_LABORAL_A2[[#This Row],[ACTIVIDAD]],'Lista Maestra'!$D$6:$F$190,3,0),"")</f>
        <v>PLANIFICACIÓN</v>
      </c>
      <c r="K66" s="31" t="str">
        <f>IFERROR(VLOOKUP(MUESTREO_LABORAL_A2[[#This Row],[ACTIVIDAD]],'Lista Maestra'!$D$6:$F$190,2,0),"")</f>
        <v>REVISAR SI HAY ALGÚN CAMBIO QUE HAYA HECHO TROPICAL.
TODO CAMBIO DEBE REPORTARSE EN EL GRUPO DE FALLAS VÍA WHATSAPP.</v>
      </c>
      <c r="L66" s="8" t="s">
        <v>22</v>
      </c>
      <c r="M66" s="8"/>
      <c r="N66" s="11">
        <v>0.61597222222222225</v>
      </c>
      <c r="O66" s="11">
        <v>0.63680555555555551</v>
      </c>
      <c r="P66" s="7">
        <f>IF(MUESTREO_LABORAL_A2[[#This Row],[TIEMPO INICIO]]="","",(MUESTREO_LABORAL_A2[[#This Row],[TIEMPO FIN]]-MUESTREO_LABORAL_A2[[#This Row],[TIEMPO INICIO]])*24)</f>
        <v>0.49999999999999822</v>
      </c>
      <c r="Q66" s="12" t="s">
        <v>90</v>
      </c>
      <c r="R66" s="12"/>
    </row>
    <row r="67" spans="2:18" ht="86.4" customHeight="1" x14ac:dyDescent="0.3">
      <c r="B67" s="2" t="s">
        <v>64</v>
      </c>
      <c r="C67" s="2" t="s">
        <v>65</v>
      </c>
      <c r="D67" s="2" t="s">
        <v>66</v>
      </c>
      <c r="E67" s="2" t="s">
        <v>67</v>
      </c>
      <c r="F67" s="4">
        <v>45979</v>
      </c>
      <c r="G67" s="8"/>
      <c r="H67" s="8"/>
      <c r="I67" s="8" t="s">
        <v>68</v>
      </c>
      <c r="J67" s="31" t="str">
        <f>IFERROR(VLOOKUP(MUESTREO_LABORAL_A2[[#This Row],[ACTIVIDAD]],'Lista Maestra'!$D$6:$F$190,3,0),"")</f>
        <v>RECEPCIÓN DE SOLICITUD DE TRANSPORTE</v>
      </c>
      <c r="K67" s="31" t="str">
        <f>IFERROR(VLOOKUP(MUESTREO_LABORAL_A2[[#This Row],[ACTIVIDAD]],'Lista Maestra'!$D$6:$F$190,2,0),"")</f>
        <v>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v>
      </c>
      <c r="L67" s="8" t="s">
        <v>22</v>
      </c>
      <c r="M67" s="8"/>
      <c r="N67" s="11">
        <v>0.63680555555555551</v>
      </c>
      <c r="O67" s="11">
        <v>0.68888888888888888</v>
      </c>
      <c r="P67" s="7">
        <f>IF(MUESTREO_LABORAL_A2[[#This Row],[TIEMPO INICIO]]="","",(MUESTREO_LABORAL_A2[[#This Row],[TIEMPO FIN]]-MUESTREO_LABORAL_A2[[#This Row],[TIEMPO INICIO]])*24)</f>
        <v>1.2500000000000009</v>
      </c>
      <c r="Q67" s="12" t="s">
        <v>91</v>
      </c>
      <c r="R67" s="12"/>
    </row>
    <row r="68" spans="2:18" ht="43.2" customHeight="1" x14ac:dyDescent="0.3">
      <c r="B68" s="2" t="s">
        <v>64</v>
      </c>
      <c r="C68" s="2" t="s">
        <v>65</v>
      </c>
      <c r="D68" s="2" t="s">
        <v>66</v>
      </c>
      <c r="E68" s="2" t="s">
        <v>67</v>
      </c>
      <c r="F68" s="4">
        <v>45980</v>
      </c>
      <c r="G68" s="8"/>
      <c r="H68" s="8"/>
      <c r="I68" s="8" t="s">
        <v>92</v>
      </c>
      <c r="J68" s="31" t="str">
        <f>IFERROR(VLOOKUP(MUESTREO_LABORAL_A2[[#This Row],[ACTIVIDAD]],'Lista Maestra'!$D$6:$F$190,3,0),"")</f>
        <v>PLANIFICACIÓN</v>
      </c>
      <c r="K68" s="31" t="str">
        <f>IFERROR(VLOOKUP(MUESTREO_LABORAL_A2[[#This Row],[ACTIVIDAD]],'Lista Maestra'!$D$6:$F$190,2,0),"")</f>
        <v>CON RESPECTO AL DÍA ANTERIOR.</v>
      </c>
      <c r="L68" s="8" t="s">
        <v>22</v>
      </c>
      <c r="M68" s="8"/>
      <c r="N68" s="11">
        <v>0.35416666666666669</v>
      </c>
      <c r="O68" s="11">
        <v>0.40625</v>
      </c>
      <c r="P68" s="7">
        <f>IF(MUESTREO_LABORAL_A2[[#This Row],[TIEMPO INICIO]]="","",(MUESTREO_LABORAL_A2[[#This Row],[TIEMPO FIN]]-MUESTREO_LABORAL_A2[[#This Row],[TIEMPO INICIO]])*24)</f>
        <v>1.2499999999999996</v>
      </c>
      <c r="Q68" s="12" t="s">
        <v>93</v>
      </c>
      <c r="R68" s="12"/>
    </row>
    <row r="69" spans="2:18" ht="43.2" customHeight="1" x14ac:dyDescent="0.3">
      <c r="B69" s="2" t="s">
        <v>64</v>
      </c>
      <c r="C69" s="2" t="s">
        <v>65</v>
      </c>
      <c r="D69" s="2" t="s">
        <v>66</v>
      </c>
      <c r="E69" s="2" t="s">
        <v>67</v>
      </c>
      <c r="F69" s="4">
        <v>45980</v>
      </c>
      <c r="G69" s="8"/>
      <c r="H69" s="8"/>
      <c r="I69" s="8" t="s">
        <v>94</v>
      </c>
      <c r="J69" s="31" t="str">
        <f>IFERROR(VLOOKUP(MUESTREO_LABORAL_A2[[#This Row],[ACTIVIDAD]],'Lista Maestra'!$D$6:$F$190,3,0),"")</f>
        <v>PLANIFICACIÓN</v>
      </c>
      <c r="K69" s="31">
        <f>IFERROR(VLOOKUP(MUESTREO_LABORAL_A2[[#This Row],[ACTIVIDAD]],'Lista Maestra'!$D$6:$F$190,2,0),"")</f>
        <v>0</v>
      </c>
      <c r="L69" s="8" t="s">
        <v>22</v>
      </c>
      <c r="M69" s="8"/>
      <c r="N69" s="11">
        <v>0.40625</v>
      </c>
      <c r="O69" s="11">
        <v>0.44374999999999998</v>
      </c>
      <c r="P69" s="7">
        <f>IF(MUESTREO_LABORAL_A2[[#This Row],[TIEMPO INICIO]]="","",(MUESTREO_LABORAL_A2[[#This Row],[TIEMPO FIN]]-MUESTREO_LABORAL_A2[[#This Row],[TIEMPO INICIO]])*24)</f>
        <v>0.89999999999999947</v>
      </c>
      <c r="Q69" s="12" t="s">
        <v>95</v>
      </c>
      <c r="R69" s="12"/>
    </row>
    <row r="70" spans="2:18" ht="115.2" customHeight="1" x14ac:dyDescent="0.3">
      <c r="B70" s="2" t="s">
        <v>64</v>
      </c>
      <c r="C70" s="2" t="s">
        <v>65</v>
      </c>
      <c r="D70" s="2" t="s">
        <v>66</v>
      </c>
      <c r="E70" s="2" t="s">
        <v>67</v>
      </c>
      <c r="F70" s="4">
        <v>45980</v>
      </c>
      <c r="G70" s="8"/>
      <c r="H70" s="8"/>
      <c r="I70" s="8" t="s">
        <v>68</v>
      </c>
      <c r="J70" s="31" t="str">
        <f>IFERROR(VLOOKUP(MUESTREO_LABORAL_A2[[#This Row],[ACTIVIDAD]],'Lista Maestra'!$D$6:$F$190,3,0),"")</f>
        <v>RECEPCIÓN DE SOLICITUD DE TRANSPORTE</v>
      </c>
      <c r="K70" s="31" t="str">
        <f>IFERROR(VLOOKUP(MUESTREO_LABORAL_A2[[#This Row],[ACTIVIDAD]],'Lista Maestra'!$D$6:$F$190,2,0),"")</f>
        <v>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v>
      </c>
      <c r="L70" s="8" t="s">
        <v>22</v>
      </c>
      <c r="M70" s="8"/>
      <c r="N70" s="11">
        <v>0.44374999999999998</v>
      </c>
      <c r="O70" s="11">
        <v>0.51249999999999996</v>
      </c>
      <c r="P70" s="7">
        <f>IF(MUESTREO_LABORAL_A2[[#This Row],[TIEMPO INICIO]]="","",(MUESTREO_LABORAL_A2[[#This Row],[TIEMPO FIN]]-MUESTREO_LABORAL_A2[[#This Row],[TIEMPO INICIO]])*24)</f>
        <v>1.6499999999999995</v>
      </c>
      <c r="Q70" s="12" t="s">
        <v>96</v>
      </c>
      <c r="R70" s="12"/>
    </row>
    <row r="71" spans="2:18" x14ac:dyDescent="0.3">
      <c r="B71" s="2" t="s">
        <v>64</v>
      </c>
      <c r="C71" s="2" t="s">
        <v>65</v>
      </c>
      <c r="D71" s="2" t="s">
        <v>66</v>
      </c>
      <c r="E71" s="2" t="s">
        <v>67</v>
      </c>
      <c r="F71" s="4">
        <v>45980</v>
      </c>
      <c r="G71" s="8"/>
      <c r="H71" s="8"/>
      <c r="I71" s="8" t="s">
        <v>26</v>
      </c>
      <c r="J71" s="31" t="str">
        <f>IFERROR(VLOOKUP(MUESTREO_LABORAL_A2[[#This Row],[ACTIVIDAD]],'Lista Maestra'!$D$6:$F$190,3,0),"")</f>
        <v>NECESIDADES BIOLÓGICAS</v>
      </c>
      <c r="K71" s="31" t="str">
        <f>IFERROR(VLOOKUP(MUESTREO_LABORAL_A2[[#This Row],[ACTIVIDAD]],'Lista Maestra'!$D$6:$F$190,2,0),"")</f>
        <v>PROCESO DE MICCIÓN Y AGREGADOS</v>
      </c>
      <c r="L71" s="8"/>
      <c r="M71" s="8"/>
      <c r="N71" s="11">
        <v>0.51249999999999996</v>
      </c>
      <c r="O71" s="11">
        <v>0.5229166666666667</v>
      </c>
      <c r="P71" s="7">
        <f>IF(MUESTREO_LABORAL_A2[[#This Row],[TIEMPO INICIO]]="","",(MUESTREO_LABORAL_A2[[#This Row],[TIEMPO FIN]]-MUESTREO_LABORAL_A2[[#This Row],[TIEMPO INICIO]])*24)</f>
        <v>0.25000000000000178</v>
      </c>
      <c r="Q71" s="12"/>
      <c r="R71" s="12"/>
    </row>
    <row r="72" spans="2:18" x14ac:dyDescent="0.3">
      <c r="B72" s="2" t="s">
        <v>64</v>
      </c>
      <c r="C72" s="2" t="s">
        <v>65</v>
      </c>
      <c r="D72" s="2" t="s">
        <v>66</v>
      </c>
      <c r="E72" s="2" t="s">
        <v>67</v>
      </c>
      <c r="F72" s="4">
        <v>45980</v>
      </c>
      <c r="G72" s="8"/>
      <c r="H72" s="8"/>
      <c r="I72" s="8" t="s">
        <v>33</v>
      </c>
      <c r="J72" s="31" t="str">
        <f>IFERROR(VLOOKUP(MUESTREO_LABORAL_A2[[#This Row],[ACTIVIDAD]],'Lista Maestra'!$D$6:$F$190,3,0),"")</f>
        <v>ALIMENTACIÓN</v>
      </c>
      <c r="K72" s="31" t="str">
        <f>IFERROR(VLOOKUP(MUESTREO_LABORAL_A2[[#This Row],[ACTIVIDAD]],'Lista Maestra'!$D$6:$F$190,2,0),"")</f>
        <v>ALIMENTARSE</v>
      </c>
      <c r="L72" s="8"/>
      <c r="M72" s="8"/>
      <c r="N72" s="11">
        <v>0.5229166666666667</v>
      </c>
      <c r="O72" s="11">
        <v>0.55694444444444446</v>
      </c>
      <c r="P72" s="7">
        <f>IF(MUESTREO_LABORAL_A2[[#This Row],[TIEMPO INICIO]]="","",(MUESTREO_LABORAL_A2[[#This Row],[TIEMPO FIN]]-MUESTREO_LABORAL_A2[[#This Row],[TIEMPO INICIO]])*24)</f>
        <v>0.81666666666666643</v>
      </c>
      <c r="Q72" s="12"/>
      <c r="R72" s="12"/>
    </row>
    <row r="73" spans="2:18" ht="82.95" customHeight="1" x14ac:dyDescent="0.3">
      <c r="B73" s="2" t="s">
        <v>64</v>
      </c>
      <c r="C73" s="2" t="s">
        <v>65</v>
      </c>
      <c r="D73" s="2" t="s">
        <v>66</v>
      </c>
      <c r="E73" s="2" t="s">
        <v>67</v>
      </c>
      <c r="F73" s="4">
        <v>45980</v>
      </c>
      <c r="G73" s="8"/>
      <c r="H73" s="8"/>
      <c r="I73" s="8" t="s">
        <v>68</v>
      </c>
      <c r="J73" s="31" t="str">
        <f>IFERROR(VLOOKUP(MUESTREO_LABORAL_A2[[#This Row],[ACTIVIDAD]],'Lista Maestra'!$D$6:$F$190,3,0),"")</f>
        <v>RECEPCIÓN DE SOLICITUD DE TRANSPORTE</v>
      </c>
      <c r="K73" s="31" t="str">
        <f>IFERROR(VLOOKUP(MUESTREO_LABORAL_A2[[#This Row],[ACTIVIDAD]],'Lista Maestra'!$D$6:$F$190,2,0),"")</f>
        <v>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v>
      </c>
      <c r="L73" s="8" t="s">
        <v>22</v>
      </c>
      <c r="M73" s="8"/>
      <c r="N73" s="11">
        <v>0.55694444444444446</v>
      </c>
      <c r="O73" s="11">
        <v>0.57777777777777772</v>
      </c>
      <c r="P73" s="7">
        <f>IF(MUESTREO_LABORAL_A2[[#This Row],[TIEMPO INICIO]]="","",(MUESTREO_LABORAL_A2[[#This Row],[TIEMPO FIN]]-MUESTREO_LABORAL_A2[[#This Row],[TIEMPO INICIO]])*24)</f>
        <v>0.49999999999999822</v>
      </c>
      <c r="Q73" s="12" t="s">
        <v>97</v>
      </c>
      <c r="R73" s="12"/>
    </row>
    <row r="74" spans="2:18" ht="86.4" customHeight="1" x14ac:dyDescent="0.3">
      <c r="B74" s="2" t="s">
        <v>64</v>
      </c>
      <c r="C74" s="2" t="s">
        <v>65</v>
      </c>
      <c r="D74" s="2" t="s">
        <v>66</v>
      </c>
      <c r="E74" s="2" t="s">
        <v>67</v>
      </c>
      <c r="F74" s="4">
        <v>45980</v>
      </c>
      <c r="G74" s="8"/>
      <c r="H74" s="8"/>
      <c r="I74" s="8" t="s">
        <v>98</v>
      </c>
      <c r="J74" s="31" t="str">
        <f>IFERROR(VLOOKUP(MUESTREO_LABORAL_A2[[#This Row],[ACTIVIDAD]],'Lista Maestra'!$D$6:$F$190,3,0),"")</f>
        <v>CONTROL DEL CUMPLIMIENTO DE LA CADENA DE FRÍO</v>
      </c>
      <c r="K74" s="31">
        <f>IFERROR(VLOOKUP(MUESTREO_LABORAL_A2[[#This Row],[ACTIVIDAD]],'Lista Maestra'!$D$6:$F$190,2,0),"")</f>
        <v>0</v>
      </c>
      <c r="L74" s="8" t="s">
        <v>22</v>
      </c>
      <c r="M74" s="8"/>
      <c r="N74" s="11">
        <v>0.57777777777777772</v>
      </c>
      <c r="O74" s="11">
        <v>0.64236111111111116</v>
      </c>
      <c r="P74" s="7">
        <f>IF(MUESTREO_LABORAL_A2[[#This Row],[TIEMPO INICIO]]="","",(MUESTREO_LABORAL_A2[[#This Row],[TIEMPO FIN]]-MUESTREO_LABORAL_A2[[#This Row],[TIEMPO INICIO]])*24)</f>
        <v>1.5500000000000025</v>
      </c>
      <c r="Q74" s="12" t="s">
        <v>99</v>
      </c>
      <c r="R74" s="12"/>
    </row>
    <row r="75" spans="2:18" ht="82.95" customHeight="1" x14ac:dyDescent="0.3">
      <c r="B75" s="2" t="s">
        <v>64</v>
      </c>
      <c r="C75" s="2" t="s">
        <v>65</v>
      </c>
      <c r="D75" s="2" t="s">
        <v>66</v>
      </c>
      <c r="E75" s="2" t="s">
        <v>67</v>
      </c>
      <c r="F75" s="4">
        <v>45980</v>
      </c>
      <c r="G75" s="8"/>
      <c r="H75" s="8"/>
      <c r="I75" s="8" t="s">
        <v>68</v>
      </c>
      <c r="J75" s="31" t="str">
        <f>IFERROR(VLOOKUP(MUESTREO_LABORAL_A2[[#This Row],[ACTIVIDAD]],'Lista Maestra'!$D$6:$F$190,3,0),"")</f>
        <v>RECEPCIÓN DE SOLICITUD DE TRANSPORTE</v>
      </c>
      <c r="K75" s="31" t="str">
        <f>IFERROR(VLOOKUP(MUESTREO_LABORAL_A2[[#This Row],[ACTIVIDAD]],'Lista Maestra'!$D$6:$F$190,2,0),"")</f>
        <v>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v>
      </c>
      <c r="L75" s="8" t="s">
        <v>22</v>
      </c>
      <c r="M75" s="8"/>
      <c r="N75" s="11">
        <v>0.64236111111111116</v>
      </c>
      <c r="O75" s="11">
        <v>0.70833333333333337</v>
      </c>
      <c r="P75" s="7">
        <f>IF(MUESTREO_LABORAL_A2[[#This Row],[TIEMPO INICIO]]="","",(MUESTREO_LABORAL_A2[[#This Row],[TIEMPO FIN]]-MUESTREO_LABORAL_A2[[#This Row],[TIEMPO INICIO]])*24)</f>
        <v>1.583333333333333</v>
      </c>
      <c r="Q75" s="44"/>
      <c r="R75" s="12"/>
    </row>
    <row r="76" spans="2:18" ht="43.2" customHeight="1" x14ac:dyDescent="0.3">
      <c r="B76" s="2" t="s">
        <v>64</v>
      </c>
      <c r="C76" s="2" t="s">
        <v>65</v>
      </c>
      <c r="D76" s="2" t="s">
        <v>66</v>
      </c>
      <c r="E76" s="2" t="s">
        <v>67</v>
      </c>
      <c r="F76" s="4">
        <v>45981</v>
      </c>
      <c r="G76" s="8"/>
      <c r="H76" s="8"/>
      <c r="I76" s="8" t="s">
        <v>92</v>
      </c>
      <c r="J76" s="31" t="str">
        <f>IFERROR(VLOOKUP(MUESTREO_LABORAL_A2[[#This Row],[ACTIVIDAD]],'Lista Maestra'!$D$6:$F$190,3,0),"")</f>
        <v>PLANIFICACIÓN</v>
      </c>
      <c r="K76" s="31" t="str">
        <f>IFERROR(VLOOKUP(MUESTREO_LABORAL_A2[[#This Row],[ACTIVIDAD]],'Lista Maestra'!$D$6:$F$190,2,0),"")</f>
        <v>CON RESPECTO AL DÍA ANTERIOR.</v>
      </c>
      <c r="L76" s="8" t="s">
        <v>22</v>
      </c>
      <c r="M76" s="8"/>
      <c r="N76" s="11">
        <v>0.35416666666666669</v>
      </c>
      <c r="O76" s="11">
        <v>0.38541666666666669</v>
      </c>
      <c r="P76" s="7">
        <f>IF(MUESTREO_LABORAL_A2[[#This Row],[TIEMPO INICIO]]="","",(MUESTREO_LABORAL_A2[[#This Row],[TIEMPO FIN]]-MUESTREO_LABORAL_A2[[#This Row],[TIEMPO INICIO]])*24)</f>
        <v>0.75</v>
      </c>
      <c r="Q76" s="12" t="s">
        <v>100</v>
      </c>
      <c r="R76" s="12"/>
    </row>
    <row r="77" spans="2:18" ht="82.95" customHeight="1" x14ac:dyDescent="0.3">
      <c r="B77" s="2" t="s">
        <v>64</v>
      </c>
      <c r="C77" s="2" t="s">
        <v>65</v>
      </c>
      <c r="D77" s="2" t="s">
        <v>66</v>
      </c>
      <c r="E77" s="2" t="s">
        <v>67</v>
      </c>
      <c r="F77" s="4">
        <v>45981</v>
      </c>
      <c r="G77" s="8"/>
      <c r="H77" s="8"/>
      <c r="I77" s="8" t="s">
        <v>68</v>
      </c>
      <c r="J77" s="31" t="str">
        <f>IFERROR(VLOOKUP(MUESTREO_LABORAL_A2[[#This Row],[ACTIVIDAD]],'Lista Maestra'!$D$6:$F$190,3,0),"")</f>
        <v>RECEPCIÓN DE SOLICITUD DE TRANSPORTE</v>
      </c>
      <c r="K77" s="31" t="str">
        <f>IFERROR(VLOOKUP(MUESTREO_LABORAL_A2[[#This Row],[ACTIVIDAD]],'Lista Maestra'!$D$6:$F$190,2,0),"")</f>
        <v>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v>
      </c>
      <c r="L77" s="8" t="s">
        <v>22</v>
      </c>
      <c r="M77" s="8"/>
      <c r="N77" s="11">
        <v>0.38541666666666669</v>
      </c>
      <c r="O77" s="11">
        <v>0.43611111111111112</v>
      </c>
      <c r="P77" s="7">
        <f>IF(MUESTREO_LABORAL_A2[[#This Row],[TIEMPO INICIO]]="","",(MUESTREO_LABORAL_A2[[#This Row],[TIEMPO FIN]]-MUESTREO_LABORAL_A2[[#This Row],[TIEMPO INICIO]])*24)</f>
        <v>1.2166666666666663</v>
      </c>
      <c r="Q77" s="12"/>
      <c r="R77" s="12"/>
    </row>
    <row r="78" spans="2:18" ht="57.6" customHeight="1" x14ac:dyDescent="0.3">
      <c r="B78" s="2" t="s">
        <v>64</v>
      </c>
      <c r="C78" s="2" t="s">
        <v>65</v>
      </c>
      <c r="D78" s="2" t="s">
        <v>66</v>
      </c>
      <c r="E78" s="2" t="s">
        <v>67</v>
      </c>
      <c r="F78" s="4">
        <v>45981</v>
      </c>
      <c r="G78" s="8"/>
      <c r="H78" s="8"/>
      <c r="I78" s="8" t="s">
        <v>101</v>
      </c>
      <c r="J78" s="31" t="str">
        <f>IFERROR(VLOOKUP(MUESTREO_LABORAL_A2[[#This Row],[ACTIVIDAD]],'Lista Maestra'!$D$6:$F$190,3,0),"")</f>
        <v>GESTIÓN DE LA PLANIFICACIÓN</v>
      </c>
      <c r="K78" s="31">
        <f>IFERROR(VLOOKUP(MUESTREO_LABORAL_A2[[#This Row],[ACTIVIDAD]],'Lista Maestra'!$D$6:$F$190,2,0),"")</f>
        <v>0</v>
      </c>
      <c r="L78" s="8" t="s">
        <v>22</v>
      </c>
      <c r="M78" s="8"/>
      <c r="N78" s="11">
        <v>0.43611111111111112</v>
      </c>
      <c r="O78" s="11">
        <v>0.44166666666666671</v>
      </c>
      <c r="P78" s="7">
        <f>IF(MUESTREO_LABORAL_A2[[#This Row],[TIEMPO INICIO]]="","",(MUESTREO_LABORAL_A2[[#This Row],[TIEMPO FIN]]-MUESTREO_LABORAL_A2[[#This Row],[TIEMPO INICIO]])*24)</f>
        <v>0.13333333333333419</v>
      </c>
      <c r="Q78" s="12" t="s">
        <v>102</v>
      </c>
      <c r="R78" s="12"/>
    </row>
    <row r="79" spans="2:18" ht="82.95" customHeight="1" x14ac:dyDescent="0.3">
      <c r="B79" s="2" t="s">
        <v>64</v>
      </c>
      <c r="C79" s="2" t="s">
        <v>65</v>
      </c>
      <c r="D79" s="2" t="s">
        <v>66</v>
      </c>
      <c r="E79" s="2" t="s">
        <v>67</v>
      </c>
      <c r="F79" s="4">
        <v>45981</v>
      </c>
      <c r="G79" s="8"/>
      <c r="H79" s="8"/>
      <c r="I79" s="8" t="s">
        <v>68</v>
      </c>
      <c r="J79" s="31" t="str">
        <f>IFERROR(VLOOKUP(MUESTREO_LABORAL_A2[[#This Row],[ACTIVIDAD]],'Lista Maestra'!$D$6:$F$190,3,0),"")</f>
        <v>RECEPCIÓN DE SOLICITUD DE TRANSPORTE</v>
      </c>
      <c r="K79" s="31" t="str">
        <f>IFERROR(VLOOKUP(MUESTREO_LABORAL_A2[[#This Row],[ACTIVIDAD]],'Lista Maestra'!$D$6:$F$190,2,0),"")</f>
        <v>CUADRE DE VEHÍCULOS EN BASE A LOS CORTES QUE ESTÁN PROGRAMADOS.
REVISIÓN SOLICITUD DE OMARSA
REVISIÓN LISTADO DE PROVEEDORES DE TRANSPORTE.
REVISIÓN ASIGNACIÓN DE CHOFERES TANTO PROVEEDORES DE TRANSPORTE COMO PROVEEDORES PROPIOS.
GENERACIÓN DE PLANIFICACIÓN DE TRANSPORTE DEL CORTE DEL MARTES.
PLANIFICACIÓN DE BANANO REVISA EN FTL Y SE LO UBICA EN LA BASE DE TRANSPORTE.</v>
      </c>
      <c r="L79" s="8" t="s">
        <v>22</v>
      </c>
      <c r="M79" s="8"/>
      <c r="N79" s="11">
        <v>0.44166666666666671</v>
      </c>
      <c r="O79" s="11">
        <v>0.52083333333333337</v>
      </c>
      <c r="P79" s="7">
        <f>IF(MUESTREO_LABORAL_A2[[#This Row],[TIEMPO INICIO]]="","",(MUESTREO_LABORAL_A2[[#This Row],[TIEMPO FIN]]-MUESTREO_LABORAL_A2[[#This Row],[TIEMPO INICIO]])*24)</f>
        <v>1.9</v>
      </c>
      <c r="Q79" s="12"/>
      <c r="R79" s="12"/>
    </row>
    <row r="80" spans="2:18" x14ac:dyDescent="0.3">
      <c r="B80" s="2" t="s">
        <v>64</v>
      </c>
      <c r="C80" s="2" t="s">
        <v>65</v>
      </c>
      <c r="D80" s="2" t="s">
        <v>66</v>
      </c>
      <c r="E80" s="2" t="s">
        <v>67</v>
      </c>
      <c r="F80" s="4">
        <v>45981</v>
      </c>
      <c r="G80" s="8"/>
      <c r="H80" s="8"/>
      <c r="I80" s="8" t="s">
        <v>26</v>
      </c>
      <c r="J80" s="31" t="str">
        <f>IFERROR(VLOOKUP(MUESTREO_LABORAL_A2[[#This Row],[ACTIVIDAD]],'Lista Maestra'!$D$6:$F$190,3,0),"")</f>
        <v>NECESIDADES BIOLÓGICAS</v>
      </c>
      <c r="K80" s="31" t="str">
        <f>IFERROR(VLOOKUP(MUESTREO_LABORAL_A2[[#This Row],[ACTIVIDAD]],'Lista Maestra'!$D$6:$F$190,2,0),"")</f>
        <v>PROCESO DE MICCIÓN Y AGREGADOS</v>
      </c>
      <c r="L80" s="8"/>
      <c r="M80" s="8"/>
      <c r="N80" s="11">
        <v>0.52083333333333337</v>
      </c>
      <c r="O80" s="11">
        <v>0.53125</v>
      </c>
      <c r="P80" s="7">
        <f>IF(MUESTREO_LABORAL_A2[[#This Row],[TIEMPO INICIO]]="","",(MUESTREO_LABORAL_A2[[#This Row],[TIEMPO FIN]]-MUESTREO_LABORAL_A2[[#This Row],[TIEMPO INICIO]])*24)</f>
        <v>0.24999999999999911</v>
      </c>
      <c r="Q80" s="12"/>
      <c r="R80" s="12"/>
    </row>
    <row r="81" spans="2:18" x14ac:dyDescent="0.3">
      <c r="B81" s="2" t="s">
        <v>64</v>
      </c>
      <c r="C81" s="2" t="s">
        <v>65</v>
      </c>
      <c r="D81" s="2" t="s">
        <v>66</v>
      </c>
      <c r="E81" s="2" t="s">
        <v>67</v>
      </c>
      <c r="F81" s="4">
        <v>45981</v>
      </c>
      <c r="G81" s="8"/>
      <c r="H81" s="8"/>
      <c r="I81" s="8" t="s">
        <v>33</v>
      </c>
      <c r="J81" s="31" t="str">
        <f>IFERROR(VLOOKUP(MUESTREO_LABORAL_A2[[#This Row],[ACTIVIDAD]],'Lista Maestra'!$D$6:$F$190,3,0),"")</f>
        <v>ALIMENTACIÓN</v>
      </c>
      <c r="K81" s="31" t="str">
        <f>IFERROR(VLOOKUP(MUESTREO_LABORAL_A2[[#This Row],[ACTIVIDAD]],'Lista Maestra'!$D$6:$F$190,2,0),"")</f>
        <v>ALIMENTARSE</v>
      </c>
      <c r="L81" s="8"/>
      <c r="M81" s="8"/>
      <c r="N81" s="11">
        <v>0.53125</v>
      </c>
      <c r="O81" s="11">
        <v>0.55208333333333337</v>
      </c>
      <c r="P81" s="7">
        <f>IF(MUESTREO_LABORAL_A2[[#This Row],[TIEMPO INICIO]]="","",(MUESTREO_LABORAL_A2[[#This Row],[TIEMPO FIN]]-MUESTREO_LABORAL_A2[[#This Row],[TIEMPO INICIO]])*24)</f>
        <v>0.50000000000000089</v>
      </c>
      <c r="Q81" s="12"/>
      <c r="R81" s="12"/>
    </row>
    <row r="82" spans="2:18" ht="43.2" customHeight="1" x14ac:dyDescent="0.3">
      <c r="B82" s="2" t="s">
        <v>64</v>
      </c>
      <c r="C82" s="2" t="s">
        <v>65</v>
      </c>
      <c r="D82" s="2" t="s">
        <v>66</v>
      </c>
      <c r="E82" s="2" t="s">
        <v>67</v>
      </c>
      <c r="F82" s="4">
        <v>45981</v>
      </c>
      <c r="G82" s="8"/>
      <c r="H82" s="8"/>
      <c r="I82" s="8" t="s">
        <v>103</v>
      </c>
      <c r="J82" s="31" t="str">
        <f>IFERROR(VLOOKUP(MUESTREO_LABORAL_A2[[#This Row],[ACTIVIDAD]],'Lista Maestra'!$D$6:$F$190,3,0),"")</f>
        <v>CONTROL DOCUMENTAL DE PROVEDURÍA</v>
      </c>
      <c r="K82" s="31">
        <f>IFERROR(VLOOKUP(MUESTREO_LABORAL_A2[[#This Row],[ACTIVIDAD]],'Lista Maestra'!$D$6:$F$190,2,0),"")</f>
        <v>0</v>
      </c>
      <c r="L82" s="8" t="s">
        <v>22</v>
      </c>
      <c r="M82" s="8"/>
      <c r="N82" s="11">
        <v>0.55208333333333337</v>
      </c>
      <c r="O82" s="11">
        <v>0.5625</v>
      </c>
      <c r="P82" s="7">
        <f>IF(MUESTREO_LABORAL_A2[[#This Row],[TIEMPO INICIO]]="","",(MUESTREO_LABORAL_A2[[#This Row],[TIEMPO FIN]]-MUESTREO_LABORAL_A2[[#This Row],[TIEMPO INICIO]])*24)</f>
        <v>0.24999999999999911</v>
      </c>
      <c r="Q82" s="12" t="s">
        <v>104</v>
      </c>
      <c r="R82" s="12"/>
    </row>
    <row r="83" spans="2:18" ht="27.6" customHeight="1" x14ac:dyDescent="0.3">
      <c r="B83" s="2" t="s">
        <v>64</v>
      </c>
      <c r="C83" s="2" t="s">
        <v>65</v>
      </c>
      <c r="D83" s="2" t="s">
        <v>66</v>
      </c>
      <c r="E83" s="2" t="s">
        <v>67</v>
      </c>
      <c r="F83" s="4">
        <v>45981</v>
      </c>
      <c r="G83" s="8"/>
      <c r="H83" s="8"/>
      <c r="I83" s="8" t="s">
        <v>98</v>
      </c>
      <c r="J83" s="31" t="str">
        <f>IFERROR(VLOOKUP(MUESTREO_LABORAL_A2[[#This Row],[ACTIVIDAD]],'Lista Maestra'!$D$6:$F$190,3,0),"")</f>
        <v>CONTROL DEL CUMPLIMIENTO DE LA CADENA DE FRÍO</v>
      </c>
      <c r="K83" s="31">
        <f>IFERROR(VLOOKUP(MUESTREO_LABORAL_A2[[#This Row],[ACTIVIDAD]],'Lista Maestra'!$D$6:$F$190,2,0),"")</f>
        <v>0</v>
      </c>
      <c r="L83" s="8" t="s">
        <v>22</v>
      </c>
      <c r="M83" s="2"/>
      <c r="N83" s="10">
        <v>0.5625</v>
      </c>
      <c r="O83" s="10">
        <v>0.70833333333333337</v>
      </c>
      <c r="P83" s="7">
        <f>IF(MUESTREO_LABORAL_A2[[#This Row],[TIEMPO INICIO]]="","",(MUESTREO_LABORAL_A2[[#This Row],[TIEMPO FIN]]-MUESTREO_LABORAL_A2[[#This Row],[TIEMPO INICIO]])*24)</f>
        <v>3.5000000000000009</v>
      </c>
      <c r="Q83" s="12"/>
      <c r="R83" s="12"/>
    </row>
    <row r="84" spans="2:18" x14ac:dyDescent="0.3">
      <c r="B84" s="8" t="s">
        <v>17</v>
      </c>
      <c r="C84" s="8" t="s">
        <v>18</v>
      </c>
      <c r="D84" s="8" t="s">
        <v>105</v>
      </c>
      <c r="E84" s="8" t="s">
        <v>106</v>
      </c>
      <c r="F84" s="9">
        <v>45985</v>
      </c>
      <c r="G84" s="8"/>
      <c r="H84" s="8"/>
      <c r="I84" s="8" t="s">
        <v>35</v>
      </c>
      <c r="J84" s="31" t="str">
        <f>IFERROR(VLOOKUP(MUESTREO_LABORAL_A2[[#This Row],[ACTIVIDAD]],'Lista Maestra'!$D$6:$F$190,3,0),"")</f>
        <v>DEFINICIÓN</v>
      </c>
      <c r="K84" s="31" t="str">
        <f>IFERROR(VLOOKUP(MUESTREO_LABORAL_A2[[#This Row],[ACTIVIDAD]],'Lista Maestra'!$D$6:$F$190,2,0),"")</f>
        <v>DEFINIR PROCESOS Y CRITERIOS INGENIERILES</v>
      </c>
      <c r="L84" s="8" t="s">
        <v>35</v>
      </c>
      <c r="M84" s="8"/>
      <c r="N84" s="10">
        <v>0.35416666666666669</v>
      </c>
      <c r="O84" s="10">
        <v>0.38333333333333341</v>
      </c>
      <c r="P84" s="7">
        <f>IF(MUESTREO_LABORAL_A2[[#This Row],[TIEMPO INICIO]]="","",(MUESTREO_LABORAL_A2[[#This Row],[TIEMPO FIN]]-MUESTREO_LABORAL_A2[[#This Row],[TIEMPO INICIO]])*24)</f>
        <v>0.70000000000000151</v>
      </c>
      <c r="Q84" s="12"/>
      <c r="R84" s="12"/>
    </row>
    <row r="85" spans="2:18" ht="27.6" customHeight="1" x14ac:dyDescent="0.3">
      <c r="B85" s="8" t="s">
        <v>17</v>
      </c>
      <c r="C85" s="8" t="s">
        <v>18</v>
      </c>
      <c r="D85" s="8" t="s">
        <v>105</v>
      </c>
      <c r="E85" s="8" t="s">
        <v>106</v>
      </c>
      <c r="F85" s="9">
        <v>45985</v>
      </c>
      <c r="G85" s="8"/>
      <c r="H85" s="8"/>
      <c r="I85" s="8" t="s">
        <v>107</v>
      </c>
      <c r="J85" s="31" t="str">
        <f>IFERROR(VLOOKUP(MUESTREO_LABORAL_A2[[#This Row],[ACTIVIDAD]],'Lista Maestra'!$D$6:$F$190,3,0),"")</f>
        <v>CREACIÓN SAP</v>
      </c>
      <c r="K85" s="31" t="str">
        <f>IFERROR(VLOOKUP(MUESTREO_LABORAL_A2[[#This Row],[ACTIVIDAD]],'Lista Maestra'!$D$6:$F$190,2,0),"")</f>
        <v>Realizar la creación de nuevos proveedores, creación de nuevos artículos solicitados por los departamentos establecidos.</v>
      </c>
      <c r="L85" s="8" t="s">
        <v>22</v>
      </c>
      <c r="M85" s="8"/>
      <c r="N85" s="10">
        <v>0.38333333333333341</v>
      </c>
      <c r="O85" s="10">
        <v>0.38680555555555562</v>
      </c>
      <c r="P85" s="7">
        <f>IF(MUESTREO_LABORAL_A2[[#This Row],[TIEMPO INICIO]]="","",(MUESTREO_LABORAL_A2[[#This Row],[TIEMPO FIN]]-MUESTREO_LABORAL_A2[[#This Row],[TIEMPO INICIO]])*24)</f>
        <v>8.3333333333333037E-2</v>
      </c>
      <c r="Q85" s="12"/>
      <c r="R85" s="12"/>
    </row>
    <row r="86" spans="2:18" ht="41.4" customHeight="1" x14ac:dyDescent="0.3">
      <c r="B86" s="8" t="s">
        <v>17</v>
      </c>
      <c r="C86" s="8" t="s">
        <v>18</v>
      </c>
      <c r="D86" s="8" t="s">
        <v>105</v>
      </c>
      <c r="E86" s="8" t="s">
        <v>106</v>
      </c>
      <c r="F86" s="9">
        <v>45985</v>
      </c>
      <c r="G86" s="8"/>
      <c r="H86" s="8"/>
      <c r="I86" s="8" t="s">
        <v>108</v>
      </c>
      <c r="J86" s="31" t="str">
        <f>IFERROR(VLOOKUP(MUESTREO_LABORAL_A2[[#This Row],[ACTIVIDAD]],'Lista Maestra'!$D$6:$F$190,3,0),"")</f>
        <v>GESTIÓN DOCUMENTAL</v>
      </c>
      <c r="K86" s="31" t="str">
        <f>IFERROR(VLOOKUP(MUESTREO_LABORAL_A2[[#This Row],[ACTIVIDAD]],'Lista Maestra'!$D$6:$F$190,2,0),"")</f>
        <v>Análisis y revisión del reporte de cobro de contenedores (Andrea Bowen) a productores directos y por medio de liquidación BANANO-aplicación de criterios</v>
      </c>
      <c r="L86" s="8" t="s">
        <v>22</v>
      </c>
      <c r="M86" s="8"/>
      <c r="N86" s="10">
        <v>0.38680555555555562</v>
      </c>
      <c r="O86" s="10">
        <v>0.4375</v>
      </c>
      <c r="P86" s="7">
        <f>IF(MUESTREO_LABORAL_A2[[#This Row],[TIEMPO INICIO]]="","",(MUESTREO_LABORAL_A2[[#This Row],[TIEMPO FIN]]-MUESTREO_LABORAL_A2[[#This Row],[TIEMPO INICIO]])*24)</f>
        <v>1.216666666666665</v>
      </c>
      <c r="Q86" s="12" t="s">
        <v>109</v>
      </c>
      <c r="R86" s="12"/>
    </row>
    <row r="87" spans="2:18" ht="55.2" customHeight="1" x14ac:dyDescent="0.3">
      <c r="B87" s="8" t="s">
        <v>17</v>
      </c>
      <c r="C87" s="8" t="s">
        <v>18</v>
      </c>
      <c r="D87" s="8" t="s">
        <v>105</v>
      </c>
      <c r="E87" s="8" t="s">
        <v>106</v>
      </c>
      <c r="F87" s="9">
        <v>45985</v>
      </c>
      <c r="G87" s="8"/>
      <c r="H87" s="8"/>
      <c r="I87" s="8" t="s">
        <v>110</v>
      </c>
      <c r="J87" s="31" t="str">
        <f>IFERROR(VLOOKUP(MUESTREO_LABORAL_A2[[#This Row],[ACTIVIDAD]],'Lista Maestra'!$D$6:$F$190,3,0),"")</f>
        <v>GESTIÓN DOCUMENTAL</v>
      </c>
      <c r="K87" s="31" t="str">
        <f>IFERROR(VLOOKUP(MUESTREO_LABORAL_A2[[#This Row],[ACTIVIDAD]],'Lista Maestra'!$D$6:$F$190,2,0),"")</f>
        <v>Realizar el control y seguimiento de los soportes físicos y escaneados de los viajes, en coordinación con los responsables de garita, para el envío al cliente OLAM. la validación documental final es efectuada por melanie villa.</v>
      </c>
      <c r="L87" s="8" t="s">
        <v>22</v>
      </c>
      <c r="M87" s="8"/>
      <c r="N87" s="10">
        <v>0.38819444444444451</v>
      </c>
      <c r="O87" s="10">
        <v>0.38958333333333328</v>
      </c>
      <c r="P87" s="7">
        <f>IF(MUESTREO_LABORAL_A2[[#This Row],[TIEMPO INICIO]]="","",(MUESTREO_LABORAL_A2[[#This Row],[TIEMPO FIN]]-MUESTREO_LABORAL_A2[[#This Row],[TIEMPO INICIO]])*24)</f>
        <v>3.333333333333055E-2</v>
      </c>
      <c r="Q87" s="12"/>
      <c r="R87" s="12"/>
    </row>
    <row r="88" spans="2:18" ht="41.4" customHeight="1" x14ac:dyDescent="0.3">
      <c r="B88" s="8" t="s">
        <v>17</v>
      </c>
      <c r="C88" s="8" t="s">
        <v>18</v>
      </c>
      <c r="D88" s="8" t="s">
        <v>105</v>
      </c>
      <c r="E88" s="8" t="s">
        <v>106</v>
      </c>
      <c r="F88" s="9">
        <v>45985</v>
      </c>
      <c r="G88" s="8"/>
      <c r="H88" s="8"/>
      <c r="I88" s="8" t="s">
        <v>111</v>
      </c>
      <c r="J88" s="31" t="str">
        <f>IFERROR(VLOOKUP(MUESTREO_LABORAL_A2[[#This Row],[ACTIVIDAD]],'Lista Maestra'!$D$6:$F$190,3,0),"")</f>
        <v>PLANIFICACIÓN</v>
      </c>
      <c r="K88" s="31" t="str">
        <f>IFERROR(VLOOKUP(MUESTREO_LABORAL_A2[[#This Row],[ACTIVIDAD]],'Lista Maestra'!$D$6:$F$190,2,0),"")</f>
        <v>Elaborar y actualizar el consolidado semanal de viajes, integrando la información de los diferentes reportes de transporte.</v>
      </c>
      <c r="L88" s="8" t="s">
        <v>22</v>
      </c>
      <c r="M88" s="8"/>
      <c r="N88" s="10">
        <v>0.38958333333333328</v>
      </c>
      <c r="O88" s="10">
        <v>0.39374999999999999</v>
      </c>
      <c r="P88" s="7">
        <f>IF(MUESTREO_LABORAL_A2[[#This Row],[TIEMPO INICIO]]="","",(MUESTREO_LABORAL_A2[[#This Row],[TIEMPO FIN]]-MUESTREO_LABORAL_A2[[#This Row],[TIEMPO INICIO]])*24)</f>
        <v>0.10000000000000098</v>
      </c>
      <c r="Q88" s="12"/>
      <c r="R88" s="12"/>
    </row>
    <row r="89" spans="2:18" ht="55.2" customHeight="1" x14ac:dyDescent="0.3">
      <c r="B89" s="8" t="s">
        <v>17</v>
      </c>
      <c r="C89" s="8" t="s">
        <v>18</v>
      </c>
      <c r="D89" s="8" t="s">
        <v>105</v>
      </c>
      <c r="E89" s="8" t="s">
        <v>106</v>
      </c>
      <c r="F89" s="9">
        <v>45985</v>
      </c>
      <c r="G89" s="8"/>
      <c r="H89" s="8"/>
      <c r="I89" s="8" t="s">
        <v>110</v>
      </c>
      <c r="J89" s="31" t="str">
        <f>IFERROR(VLOOKUP(MUESTREO_LABORAL_A2[[#This Row],[ACTIVIDAD]],'Lista Maestra'!$D$6:$F$190,3,0),"")</f>
        <v>GESTIÓN DOCUMENTAL</v>
      </c>
      <c r="K89" s="31" t="str">
        <f>IFERROR(VLOOKUP(MUESTREO_LABORAL_A2[[#This Row],[ACTIVIDAD]],'Lista Maestra'!$D$6:$F$190,2,0),"")</f>
        <v>Realizar el control y seguimiento de los soportes físicos y escaneados de los viajes, en coordinación con los responsables de garita, para el envío al cliente OLAM. la validación documental final es efectuada por melanie villa.</v>
      </c>
      <c r="L89" s="8" t="s">
        <v>22</v>
      </c>
      <c r="M89" s="8"/>
      <c r="N89" s="10">
        <v>0.39374999999999999</v>
      </c>
      <c r="O89" s="10">
        <v>0.3972222222222222</v>
      </c>
      <c r="P89" s="7">
        <f>IF(MUESTREO_LABORAL_A2[[#This Row],[TIEMPO INICIO]]="","",(MUESTREO_LABORAL_A2[[#This Row],[TIEMPO FIN]]-MUESTREO_LABORAL_A2[[#This Row],[TIEMPO INICIO]])*24)</f>
        <v>8.3333333333333037E-2</v>
      </c>
      <c r="Q89" s="12"/>
      <c r="R89" s="12"/>
    </row>
    <row r="90" spans="2:18" ht="41.4" customHeight="1" x14ac:dyDescent="0.3">
      <c r="B90" s="8" t="s">
        <v>17</v>
      </c>
      <c r="C90" s="8" t="s">
        <v>18</v>
      </c>
      <c r="D90" s="8" t="s">
        <v>105</v>
      </c>
      <c r="E90" s="8" t="s">
        <v>106</v>
      </c>
      <c r="F90" s="9">
        <v>45985</v>
      </c>
      <c r="G90" s="8"/>
      <c r="H90" s="8"/>
      <c r="I90" s="8" t="s">
        <v>111</v>
      </c>
      <c r="J90" s="31" t="str">
        <f>IFERROR(VLOOKUP(MUESTREO_LABORAL_A2[[#This Row],[ACTIVIDAD]],'Lista Maestra'!$D$6:$F$190,3,0),"")</f>
        <v>PLANIFICACIÓN</v>
      </c>
      <c r="K90" s="31" t="str">
        <f>IFERROR(VLOOKUP(MUESTREO_LABORAL_A2[[#This Row],[ACTIVIDAD]],'Lista Maestra'!$D$6:$F$190,2,0),"")</f>
        <v>Elaborar y actualizar el consolidado semanal de viajes, integrando la información de los diferentes reportes de transporte.</v>
      </c>
      <c r="L90" s="8" t="s">
        <v>22</v>
      </c>
      <c r="M90" s="8"/>
      <c r="N90" s="10">
        <v>0.3972222222222222</v>
      </c>
      <c r="O90" s="10">
        <v>0.40069444444444452</v>
      </c>
      <c r="P90" s="7">
        <f>IF(MUESTREO_LABORAL_A2[[#This Row],[TIEMPO INICIO]]="","",(MUESTREO_LABORAL_A2[[#This Row],[TIEMPO FIN]]-MUESTREO_LABORAL_A2[[#This Row],[TIEMPO INICIO]])*24)</f>
        <v>8.3333333333335702E-2</v>
      </c>
      <c r="Q90" s="12"/>
      <c r="R90" s="12"/>
    </row>
    <row r="91" spans="2:18" ht="28.95" customHeight="1" x14ac:dyDescent="0.3">
      <c r="B91" s="8" t="s">
        <v>17</v>
      </c>
      <c r="C91" s="8" t="s">
        <v>18</v>
      </c>
      <c r="D91" s="8" t="s">
        <v>105</v>
      </c>
      <c r="E91" s="8" t="s">
        <v>106</v>
      </c>
      <c r="F91" s="9">
        <v>45985</v>
      </c>
      <c r="G91" s="8"/>
      <c r="H91" s="8"/>
      <c r="I91" s="8" t="s">
        <v>110</v>
      </c>
      <c r="J91" s="31" t="str">
        <f>IFERROR(VLOOKUP(MUESTREO_LABORAL_A2[[#This Row],[ACTIVIDAD]],'Lista Maestra'!$D$6:$F$190,3,0),"")</f>
        <v>GESTIÓN DOCUMENTAL</v>
      </c>
      <c r="K91" s="31" t="str">
        <f>IFERROR(VLOOKUP(MUESTREO_LABORAL_A2[[#This Row],[ACTIVIDAD]],'Lista Maestra'!$D$6:$F$190,2,0),"")</f>
        <v>Realizar el control y seguimiento de los soportes físicos y escaneados de los viajes, en coordinación con los responsables de garita, para el envío al cliente OLAM. la validación documental final es efectuada por melanie villa.</v>
      </c>
      <c r="L91" s="8" t="s">
        <v>22</v>
      </c>
      <c r="M91" s="8"/>
      <c r="N91" s="10">
        <v>0.3972222222222222</v>
      </c>
      <c r="O91" s="10">
        <v>0.4375</v>
      </c>
      <c r="P91" s="7">
        <f>IF(MUESTREO_LABORAL_A2[[#This Row],[TIEMPO INICIO]]="","",(MUESTREO_LABORAL_A2[[#This Row],[TIEMPO FIN]]-MUESTREO_LABORAL_A2[[#This Row],[TIEMPO INICIO]])*24)</f>
        <v>0.96666666666666723</v>
      </c>
      <c r="Q91" s="12" t="s">
        <v>112</v>
      </c>
      <c r="R91" s="12"/>
    </row>
    <row r="92" spans="2:18" ht="27.6" customHeight="1" x14ac:dyDescent="0.3">
      <c r="B92" s="8" t="s">
        <v>17</v>
      </c>
      <c r="C92" s="8" t="s">
        <v>18</v>
      </c>
      <c r="D92" s="8" t="s">
        <v>105</v>
      </c>
      <c r="E92" s="8" t="s">
        <v>106</v>
      </c>
      <c r="F92" s="9">
        <v>45985</v>
      </c>
      <c r="G92" s="8"/>
      <c r="H92" s="8"/>
      <c r="I92" s="8" t="s">
        <v>113</v>
      </c>
      <c r="J92" s="31" t="str">
        <f>IFERROR(VLOOKUP(MUESTREO_LABORAL_A2[[#This Row],[ACTIVIDAD]],'Lista Maestra'!$D$6:$F$190,3,0),"")</f>
        <v>PLANIFICACIÓN</v>
      </c>
      <c r="K92"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92" s="8" t="s">
        <v>22</v>
      </c>
      <c r="M92" s="8"/>
      <c r="N92" s="10">
        <v>0.39861111111111108</v>
      </c>
      <c r="O92" s="10">
        <v>0.42986111111111108</v>
      </c>
      <c r="P92" s="7">
        <f>IF(MUESTREO_LABORAL_A2[[#This Row],[TIEMPO INICIO]]="","",(MUESTREO_LABORAL_A2[[#This Row],[TIEMPO FIN]]-MUESTREO_LABORAL_A2[[#This Row],[TIEMPO INICIO]])*24)</f>
        <v>0.75</v>
      </c>
      <c r="Q92" s="12"/>
      <c r="R92" s="12"/>
    </row>
    <row r="93" spans="2:18" ht="28.95" customHeight="1" x14ac:dyDescent="0.3">
      <c r="B93" s="8" t="s">
        <v>17</v>
      </c>
      <c r="C93" s="8" t="s">
        <v>18</v>
      </c>
      <c r="D93" s="8" t="s">
        <v>105</v>
      </c>
      <c r="E93" s="8" t="s">
        <v>106</v>
      </c>
      <c r="F93" s="9">
        <v>45985</v>
      </c>
      <c r="G93" s="8"/>
      <c r="H93" s="8"/>
      <c r="I93" s="8" t="s">
        <v>114</v>
      </c>
      <c r="J93" s="31" t="str">
        <f>IFERROR(VLOOKUP(MUESTREO_LABORAL_A2[[#This Row],[ACTIVIDAD]],'Lista Maestra'!$D$6:$F$190,3,0),"")</f>
        <v>GESTIÓN DOCUMENTAL</v>
      </c>
      <c r="K93" s="31" t="str">
        <f>IFERROR(VLOOKUP(MUESTREO_LABORAL_A2[[#This Row],[ACTIVIDAD]],'Lista Maestra'!$D$6:$F$190,2,0),"")</f>
        <v>Elaboración de plantillas y guias en SAP de retiros de contenedores, se enviá la factura mediante correo adjuntando el soporte (statement) y en SAP se procede a reclasificar por semanas</v>
      </c>
      <c r="L93" s="8" t="s">
        <v>22</v>
      </c>
      <c r="M93" s="8"/>
      <c r="N93" s="10">
        <v>0.4375</v>
      </c>
      <c r="O93" s="10">
        <v>0.44097222222222221</v>
      </c>
      <c r="P93" s="7">
        <f>IF(MUESTREO_LABORAL_A2[[#This Row],[TIEMPO INICIO]]="","",(MUESTREO_LABORAL_A2[[#This Row],[TIEMPO FIN]]-MUESTREO_LABORAL_A2[[#This Row],[TIEMPO INICIO]])*24)</f>
        <v>8.3333333333333037E-2</v>
      </c>
      <c r="Q93" s="12" t="s">
        <v>115</v>
      </c>
      <c r="R93" s="12"/>
    </row>
    <row r="94" spans="2:18" ht="27.6" customHeight="1" x14ac:dyDescent="0.3">
      <c r="B94" s="8" t="s">
        <v>17</v>
      </c>
      <c r="C94" s="8" t="s">
        <v>18</v>
      </c>
      <c r="D94" s="8" t="s">
        <v>105</v>
      </c>
      <c r="E94" s="8" t="s">
        <v>106</v>
      </c>
      <c r="F94" s="9">
        <v>45985</v>
      </c>
      <c r="G94" s="8"/>
      <c r="H94" s="8"/>
      <c r="I94" s="8" t="s">
        <v>113</v>
      </c>
      <c r="J94" s="31" t="str">
        <f>IFERROR(VLOOKUP(MUESTREO_LABORAL_A2[[#This Row],[ACTIVIDAD]],'Lista Maestra'!$D$6:$F$190,3,0),"")</f>
        <v>PLANIFICACIÓN</v>
      </c>
      <c r="K94"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94" s="8" t="s">
        <v>22</v>
      </c>
      <c r="M94" s="8"/>
      <c r="N94" s="10">
        <v>0.44097222222222221</v>
      </c>
      <c r="O94" s="10">
        <v>0.44583333333333341</v>
      </c>
      <c r="P94" s="7">
        <f>IF(MUESTREO_LABORAL_A2[[#This Row],[TIEMPO INICIO]]="","",(MUESTREO_LABORAL_A2[[#This Row],[TIEMPO FIN]]-MUESTREO_LABORAL_A2[[#This Row],[TIEMPO INICIO]])*24)</f>
        <v>0.11666666666666892</v>
      </c>
      <c r="Q94" s="12" t="s">
        <v>116</v>
      </c>
      <c r="R94" s="12"/>
    </row>
    <row r="95" spans="2:18" ht="27.6" customHeight="1" x14ac:dyDescent="0.3">
      <c r="B95" s="8" t="s">
        <v>17</v>
      </c>
      <c r="C95" s="8" t="s">
        <v>18</v>
      </c>
      <c r="D95" s="8" t="s">
        <v>105</v>
      </c>
      <c r="E95" s="8" t="s">
        <v>106</v>
      </c>
      <c r="F95" s="9">
        <v>45985</v>
      </c>
      <c r="G95" s="8"/>
      <c r="H95" s="8"/>
      <c r="I95" s="8" t="s">
        <v>117</v>
      </c>
      <c r="J95" s="31" t="str">
        <f>IFERROR(VLOOKUP(MUESTREO_LABORAL_A2[[#This Row],[ACTIVIDAD]],'Lista Maestra'!$D$6:$F$190,3,0),"")</f>
        <v>FACTURACIÓN</v>
      </c>
      <c r="K95" s="31" t="str">
        <f>IFERROR(VLOOKUP(MUESTREO_LABORAL_A2[[#This Row],[ACTIVIDAD]],'Lista Maestra'!$D$6:$F$190,2,0),"")</f>
        <v>Explicación personalizada de facturaciones a productores vía telefónica, email, whatsapp, entre otros medios</v>
      </c>
      <c r="L95" s="8" t="s">
        <v>22</v>
      </c>
      <c r="M95" s="8"/>
      <c r="N95" s="10">
        <v>0.44583333333333341</v>
      </c>
      <c r="O95" s="10">
        <v>0.44791666666666669</v>
      </c>
      <c r="P95" s="7">
        <f>IF(MUESTREO_LABORAL_A2[[#This Row],[TIEMPO INICIO]]="","",(MUESTREO_LABORAL_A2[[#This Row],[TIEMPO FIN]]-MUESTREO_LABORAL_A2[[#This Row],[TIEMPO INICIO]])*24)</f>
        <v>4.999999999999849E-2</v>
      </c>
      <c r="Q95" s="12"/>
      <c r="R95" s="12"/>
    </row>
    <row r="96" spans="2:18" ht="55.2" customHeight="1" x14ac:dyDescent="0.3">
      <c r="B96" s="8" t="s">
        <v>17</v>
      </c>
      <c r="C96" s="8" t="s">
        <v>18</v>
      </c>
      <c r="D96" s="8" t="s">
        <v>105</v>
      </c>
      <c r="E96" s="8" t="s">
        <v>106</v>
      </c>
      <c r="F96" s="9">
        <v>45985</v>
      </c>
      <c r="G96" s="8"/>
      <c r="H96" s="8"/>
      <c r="I96" s="8" t="s">
        <v>118</v>
      </c>
      <c r="J96" s="31" t="str">
        <f>IFERROR(VLOOKUP(MUESTREO_LABORAL_A2[[#This Row],[ACTIVIDAD]],'Lista Maestra'!$D$6:$F$190,3,0),"")</f>
        <v>GESTIÓN DOCUMENTAL</v>
      </c>
      <c r="K96" s="31" t="str">
        <f>IFERROR(VLOOKUP(MUESTREO_LABORAL_A2[[#This Row],[ACTIVIDAD]],'Lista Maestra'!$D$6:$F$190,2,0),"")</f>
        <v>Analisis y revision del reporte de movimiento de fruta y bajo cubierta junto con Ricardo Salinas para envio a (Andrea Bowen) y elaboración de guías de remisión, para proceder con la facturación</v>
      </c>
      <c r="L96" s="8" t="s">
        <v>22</v>
      </c>
      <c r="M96" s="8"/>
      <c r="N96" s="10">
        <v>0.44791666666666669</v>
      </c>
      <c r="O96" s="10">
        <v>0.46180555555555558</v>
      </c>
      <c r="P96" s="7">
        <f>IF(MUESTREO_LABORAL_A2[[#This Row],[TIEMPO INICIO]]="","",(MUESTREO_LABORAL_A2[[#This Row],[TIEMPO FIN]]-MUESTREO_LABORAL_A2[[#This Row],[TIEMPO INICIO]])*24)</f>
        <v>0.33333333333333348</v>
      </c>
      <c r="Q96" s="12"/>
      <c r="R96" s="12"/>
    </row>
    <row r="97" spans="2:18" ht="41.4" customHeight="1" x14ac:dyDescent="0.3">
      <c r="B97" s="8" t="s">
        <v>17</v>
      </c>
      <c r="C97" s="8" t="s">
        <v>18</v>
      </c>
      <c r="D97" s="8" t="s">
        <v>105</v>
      </c>
      <c r="E97" s="8" t="s">
        <v>106</v>
      </c>
      <c r="F97" s="9">
        <v>45985</v>
      </c>
      <c r="G97" s="8"/>
      <c r="H97" s="8"/>
      <c r="I97" s="8" t="s">
        <v>111</v>
      </c>
      <c r="J97" s="31" t="str">
        <f>IFERROR(VLOOKUP(MUESTREO_LABORAL_A2[[#This Row],[ACTIVIDAD]],'Lista Maestra'!$D$6:$F$190,3,0),"")</f>
        <v>PLANIFICACIÓN</v>
      </c>
      <c r="K97" s="31" t="str">
        <f>IFERROR(VLOOKUP(MUESTREO_LABORAL_A2[[#This Row],[ACTIVIDAD]],'Lista Maestra'!$D$6:$F$190,2,0),"")</f>
        <v>Elaborar y actualizar el consolidado semanal de viajes, integrando la información de los diferentes reportes de transporte.</v>
      </c>
      <c r="L97" s="8" t="s">
        <v>22</v>
      </c>
      <c r="M97" s="8"/>
      <c r="N97" s="10">
        <v>0.45624999999999999</v>
      </c>
      <c r="O97" s="10">
        <v>0.46180555555555558</v>
      </c>
      <c r="P97" s="7">
        <f>IF(MUESTREO_LABORAL_A2[[#This Row],[TIEMPO INICIO]]="","",(MUESTREO_LABORAL_A2[[#This Row],[TIEMPO FIN]]-MUESTREO_LABORAL_A2[[#This Row],[TIEMPO INICIO]])*24)</f>
        <v>0.13333333333333419</v>
      </c>
      <c r="Q97" s="12"/>
      <c r="R97" s="12"/>
    </row>
    <row r="98" spans="2:18" ht="41.4" customHeight="1" x14ac:dyDescent="0.3">
      <c r="B98" s="8" t="s">
        <v>17</v>
      </c>
      <c r="C98" s="8" t="s">
        <v>18</v>
      </c>
      <c r="D98" s="8" t="s">
        <v>105</v>
      </c>
      <c r="E98" s="8" t="s">
        <v>106</v>
      </c>
      <c r="F98" s="9">
        <v>45985</v>
      </c>
      <c r="G98" s="8"/>
      <c r="H98" s="8"/>
      <c r="I98" s="8" t="s">
        <v>108</v>
      </c>
      <c r="J98" s="31" t="str">
        <f>IFERROR(VLOOKUP(MUESTREO_LABORAL_A2[[#This Row],[ACTIVIDAD]],'Lista Maestra'!$D$6:$F$190,3,0),"")</f>
        <v>GESTIÓN DOCUMENTAL</v>
      </c>
      <c r="K98" s="31" t="str">
        <f>IFERROR(VLOOKUP(MUESTREO_LABORAL_A2[[#This Row],[ACTIVIDAD]],'Lista Maestra'!$D$6:$F$190,2,0),"")</f>
        <v>Análisis y revisión del reporte de cobro de contenedores (Andrea Bowen) a productores directos y por medio de liquidación BANANO-aplicación de criterios</v>
      </c>
      <c r="L98" s="8" t="s">
        <v>22</v>
      </c>
      <c r="M98" s="8"/>
      <c r="N98" s="10">
        <v>0.46180555555555558</v>
      </c>
      <c r="O98" s="10">
        <v>0.52083333333333337</v>
      </c>
      <c r="P98" s="7">
        <f>IF(MUESTREO_LABORAL_A2[[#This Row],[TIEMPO INICIO]]="","",(MUESTREO_LABORAL_A2[[#This Row],[TIEMPO FIN]]-MUESTREO_LABORAL_A2[[#This Row],[TIEMPO INICIO]])*24)</f>
        <v>1.416666666666667</v>
      </c>
      <c r="Q98" s="12"/>
      <c r="R98" s="12"/>
    </row>
    <row r="99" spans="2:18" ht="55.2" customHeight="1" x14ac:dyDescent="0.3">
      <c r="B99" s="8" t="s">
        <v>17</v>
      </c>
      <c r="C99" s="8" t="s">
        <v>18</v>
      </c>
      <c r="D99" s="8" t="s">
        <v>105</v>
      </c>
      <c r="E99" s="8" t="s">
        <v>106</v>
      </c>
      <c r="F99" s="9">
        <v>45985</v>
      </c>
      <c r="G99" s="8"/>
      <c r="H99" s="8"/>
      <c r="I99" s="8" t="s">
        <v>118</v>
      </c>
      <c r="J99" s="31" t="str">
        <f>IFERROR(VLOOKUP(MUESTREO_LABORAL_A2[[#This Row],[ACTIVIDAD]],'Lista Maestra'!$D$6:$F$190,3,0),"")</f>
        <v>GESTIÓN DOCUMENTAL</v>
      </c>
      <c r="K99" s="31" t="str">
        <f>IFERROR(VLOOKUP(MUESTREO_LABORAL_A2[[#This Row],[ACTIVIDAD]],'Lista Maestra'!$D$6:$F$190,2,0),"")</f>
        <v>Analisis y revision del reporte de movimiento de fruta y bajo cubierta junto con Ricardo Salinas para envio a (Andrea Bowen) y elaboración de guías de remisión, para proceder con la facturación</v>
      </c>
      <c r="L99" s="8" t="s">
        <v>22</v>
      </c>
      <c r="M99" s="8"/>
      <c r="N99" s="10">
        <v>0.47638888888888892</v>
      </c>
      <c r="O99" s="10">
        <v>0.52083333333333337</v>
      </c>
      <c r="P99" s="7">
        <f>IF(MUESTREO_LABORAL_A2[[#This Row],[TIEMPO INICIO]]="","",(MUESTREO_LABORAL_A2[[#This Row],[TIEMPO FIN]]-MUESTREO_LABORAL_A2[[#This Row],[TIEMPO INICIO]])*24)</f>
        <v>1.0666666666666669</v>
      </c>
      <c r="Q99" s="12"/>
      <c r="R99" s="12"/>
    </row>
    <row r="100" spans="2:18" ht="27.6" customHeight="1" x14ac:dyDescent="0.3">
      <c r="B100" s="8" t="s">
        <v>17</v>
      </c>
      <c r="C100" s="8" t="s">
        <v>18</v>
      </c>
      <c r="D100" s="8" t="s">
        <v>105</v>
      </c>
      <c r="E100" s="8" t="s">
        <v>106</v>
      </c>
      <c r="F100" s="9">
        <v>45985</v>
      </c>
      <c r="G100" s="8"/>
      <c r="H100" s="8"/>
      <c r="I100" s="8" t="s">
        <v>113</v>
      </c>
      <c r="J100" s="31" t="str">
        <f>IFERROR(VLOOKUP(MUESTREO_LABORAL_A2[[#This Row],[ACTIVIDAD]],'Lista Maestra'!$D$6:$F$190,3,0),"")</f>
        <v>PLANIFICACIÓN</v>
      </c>
      <c r="K100"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100" s="8" t="s">
        <v>22</v>
      </c>
      <c r="M100" s="8"/>
      <c r="N100" s="10">
        <v>0.47638888888888892</v>
      </c>
      <c r="O100" s="10">
        <v>0.4826388888888889</v>
      </c>
      <c r="P100" s="7">
        <f>IF(MUESTREO_LABORAL_A2[[#This Row],[TIEMPO INICIO]]="","",(MUESTREO_LABORAL_A2[[#This Row],[TIEMPO FIN]]-MUESTREO_LABORAL_A2[[#This Row],[TIEMPO INICIO]])*24)</f>
        <v>0.14999999999999947</v>
      </c>
      <c r="Q100" s="12"/>
      <c r="R100" s="12"/>
    </row>
    <row r="101" spans="2:18" ht="55.2" customHeight="1" x14ac:dyDescent="0.3">
      <c r="B101" s="8" t="s">
        <v>17</v>
      </c>
      <c r="C101" s="8" t="s">
        <v>18</v>
      </c>
      <c r="D101" s="8" t="s">
        <v>105</v>
      </c>
      <c r="E101" s="8" t="s">
        <v>106</v>
      </c>
      <c r="F101" s="9">
        <v>45985</v>
      </c>
      <c r="G101" s="8"/>
      <c r="H101" s="8"/>
      <c r="I101" s="8" t="s">
        <v>119</v>
      </c>
      <c r="J101" s="31" t="str">
        <f>IFERROR(VLOOKUP(MUESTREO_LABORAL_A2[[#This Row],[ACTIVIDAD]],'Lista Maestra'!$D$6:$F$190,3,0),"")</f>
        <v>RETENCIONES</v>
      </c>
      <c r="K101" s="31" t="str">
        <f>IFERROR(VLOOKUP(MUESTREO_LABORAL_A2[[#This Row],[ACTIVIDAD]],'Lista Maestra'!$D$6:$F$190,2,0),"")</f>
        <v>Verificar la correcta anulación de las retenciones registradas en sap, posterior a la anulación en el sistema, se efectúe la solicitud correspondiente en el portal del sri, garantizando la coherencia entre ambas plataformas y la trazabilidad del proceso contable.</v>
      </c>
      <c r="L101" s="8" t="s">
        <v>22</v>
      </c>
      <c r="M101" s="8"/>
      <c r="N101" s="10">
        <v>0.4826388888888889</v>
      </c>
      <c r="O101" s="10">
        <v>0.52083333333333337</v>
      </c>
      <c r="P101" s="7">
        <f>IF(MUESTREO_LABORAL_A2[[#This Row],[TIEMPO INICIO]]="","",(MUESTREO_LABORAL_A2[[#This Row],[TIEMPO FIN]]-MUESTREO_LABORAL_A2[[#This Row],[TIEMPO INICIO]])*24)</f>
        <v>0.91666666666666741</v>
      </c>
      <c r="Q101" s="12"/>
      <c r="R101" s="12"/>
    </row>
    <row r="102" spans="2:18" ht="41.4" customHeight="1" x14ac:dyDescent="0.3">
      <c r="B102" s="8" t="s">
        <v>17</v>
      </c>
      <c r="C102" s="8" t="s">
        <v>18</v>
      </c>
      <c r="D102" s="8" t="s">
        <v>105</v>
      </c>
      <c r="E102" s="8" t="s">
        <v>106</v>
      </c>
      <c r="F102" s="9">
        <v>45985</v>
      </c>
      <c r="G102" s="8"/>
      <c r="H102" s="8"/>
      <c r="I102" s="8" t="s">
        <v>120</v>
      </c>
      <c r="J102" s="31" t="str">
        <f>IFERROR(VLOOKUP(MUESTREO_LABORAL_A2[[#This Row],[ACTIVIDAD]],'Lista Maestra'!$D$6:$F$190,3,0),"")</f>
        <v>GESTIÓN DOCUMENTAL</v>
      </c>
      <c r="K102" s="31" t="str">
        <f>IFERROR(VLOOKUP(MUESTREO_LABORAL_A2[[#This Row],[ACTIVIDAD]],'Lista Maestra'!$D$6:$F$190,2,0),"")</f>
        <v>Elaboración de informe de facturacion de contenedores, emisión de notas de credito por roleos y costos TFE, refacturaciones semanales de contenedores de productores varios y MLC</v>
      </c>
      <c r="L102" s="8" t="s">
        <v>22</v>
      </c>
      <c r="M102" s="8"/>
      <c r="N102" s="10">
        <v>0.5131944444444444</v>
      </c>
      <c r="O102" s="10">
        <v>0.52083333333333337</v>
      </c>
      <c r="P102" s="7">
        <f>IF(MUESTREO_LABORAL_A2[[#This Row],[TIEMPO INICIO]]="","",(MUESTREO_LABORAL_A2[[#This Row],[TIEMPO FIN]]-MUESTREO_LABORAL_A2[[#This Row],[TIEMPO INICIO]])*24)</f>
        <v>0.18333333333333535</v>
      </c>
      <c r="Q102" s="12"/>
      <c r="R102" s="12"/>
    </row>
    <row r="103" spans="2:18" x14ac:dyDescent="0.3">
      <c r="B103" s="8" t="s">
        <v>17</v>
      </c>
      <c r="C103" s="8" t="s">
        <v>18</v>
      </c>
      <c r="D103" s="8" t="s">
        <v>105</v>
      </c>
      <c r="E103" s="8" t="s">
        <v>106</v>
      </c>
      <c r="F103" s="9">
        <v>45985</v>
      </c>
      <c r="G103" s="8"/>
      <c r="H103" s="8"/>
      <c r="I103" s="8" t="s">
        <v>33</v>
      </c>
      <c r="J103" s="31" t="str">
        <f>IFERROR(VLOOKUP(MUESTREO_LABORAL_A2[[#This Row],[ACTIVIDAD]],'Lista Maestra'!$D$6:$F$190,3,0),"")</f>
        <v>ALIMENTACIÓN</v>
      </c>
      <c r="K103" s="31" t="str">
        <f>IFERROR(VLOOKUP(MUESTREO_LABORAL_A2[[#This Row],[ACTIVIDAD]],'Lista Maestra'!$D$6:$F$190,2,0),"")</f>
        <v>ALIMENTARSE</v>
      </c>
      <c r="L103" s="8" t="s">
        <v>33</v>
      </c>
      <c r="M103" s="8"/>
      <c r="N103" s="10">
        <v>0.52083333333333337</v>
      </c>
      <c r="O103" s="10">
        <v>0.5625</v>
      </c>
      <c r="P103" s="7">
        <f>IF(MUESTREO_LABORAL_A2[[#This Row],[TIEMPO INICIO]]="","",(MUESTREO_LABORAL_A2[[#This Row],[TIEMPO FIN]]-MUESTREO_LABORAL_A2[[#This Row],[TIEMPO INICIO]])*24)</f>
        <v>0.99999999999999911</v>
      </c>
      <c r="Q103" s="12"/>
      <c r="R103" s="12"/>
    </row>
    <row r="104" spans="2:18" ht="41.4" customHeight="1" x14ac:dyDescent="0.3">
      <c r="B104" s="8" t="s">
        <v>17</v>
      </c>
      <c r="C104" s="8" t="s">
        <v>18</v>
      </c>
      <c r="D104" s="8" t="s">
        <v>105</v>
      </c>
      <c r="E104" s="8" t="s">
        <v>106</v>
      </c>
      <c r="F104" s="9">
        <v>45985</v>
      </c>
      <c r="G104" s="8"/>
      <c r="H104" s="8"/>
      <c r="I104" s="8" t="s">
        <v>120</v>
      </c>
      <c r="J104" s="31" t="str">
        <f>IFERROR(VLOOKUP(MUESTREO_LABORAL_A2[[#This Row],[ACTIVIDAD]],'Lista Maestra'!$D$6:$F$190,3,0),"")</f>
        <v>GESTIÓN DOCUMENTAL</v>
      </c>
      <c r="K104" s="31" t="str">
        <f>IFERROR(VLOOKUP(MUESTREO_LABORAL_A2[[#This Row],[ACTIVIDAD]],'Lista Maestra'!$D$6:$F$190,2,0),"")</f>
        <v>Elaboración de informe de facturacion de contenedores, emisión de notas de credito por roleos y costos TFE, refacturaciones semanales de contenedores de productores varios y MLC</v>
      </c>
      <c r="L104" s="8" t="s">
        <v>22</v>
      </c>
      <c r="M104" s="8"/>
      <c r="N104" s="10">
        <v>0.5625</v>
      </c>
      <c r="O104" s="10">
        <v>0.59583333333333333</v>
      </c>
      <c r="P104" s="7">
        <f>IF(MUESTREO_LABORAL_A2[[#This Row],[TIEMPO INICIO]]="","",(MUESTREO_LABORAL_A2[[#This Row],[TIEMPO FIN]]-MUESTREO_LABORAL_A2[[#This Row],[TIEMPO INICIO]])*24)</f>
        <v>0.79999999999999982</v>
      </c>
      <c r="Q104" s="12"/>
      <c r="R104" s="12"/>
    </row>
    <row r="105" spans="2:18" ht="27.6" customHeight="1" x14ac:dyDescent="0.3">
      <c r="B105" s="8" t="s">
        <v>17</v>
      </c>
      <c r="C105" s="8" t="s">
        <v>18</v>
      </c>
      <c r="D105" s="8" t="s">
        <v>105</v>
      </c>
      <c r="E105" s="8" t="s">
        <v>106</v>
      </c>
      <c r="F105" s="9">
        <v>45985</v>
      </c>
      <c r="G105" s="8"/>
      <c r="H105" s="8"/>
      <c r="I105" s="8" t="s">
        <v>113</v>
      </c>
      <c r="J105" s="31" t="str">
        <f>IFERROR(VLOOKUP(MUESTREO_LABORAL_A2[[#This Row],[ACTIVIDAD]],'Lista Maestra'!$D$6:$F$190,3,0),"")</f>
        <v>PLANIFICACIÓN</v>
      </c>
      <c r="K105"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105" s="8" t="s">
        <v>22</v>
      </c>
      <c r="M105" s="8"/>
      <c r="N105" s="10">
        <v>0.56319444444444444</v>
      </c>
      <c r="O105" s="10">
        <v>0.59583333333333333</v>
      </c>
      <c r="P105" s="7">
        <f>IF(MUESTREO_LABORAL_A2[[#This Row],[TIEMPO INICIO]]="","",(MUESTREO_LABORAL_A2[[#This Row],[TIEMPO FIN]]-MUESTREO_LABORAL_A2[[#This Row],[TIEMPO INICIO]])*24)</f>
        <v>0.78333333333333321</v>
      </c>
      <c r="Q105" s="12"/>
      <c r="R105" s="12"/>
    </row>
    <row r="106" spans="2:18" ht="41.4" customHeight="1" x14ac:dyDescent="0.3">
      <c r="B106" s="8" t="s">
        <v>17</v>
      </c>
      <c r="C106" s="8" t="s">
        <v>18</v>
      </c>
      <c r="D106" s="8" t="s">
        <v>105</v>
      </c>
      <c r="E106" s="8" t="s">
        <v>106</v>
      </c>
      <c r="F106" s="9">
        <v>45985</v>
      </c>
      <c r="G106" s="8"/>
      <c r="H106" s="8"/>
      <c r="I106" s="8" t="s">
        <v>121</v>
      </c>
      <c r="J106" s="31" t="str">
        <f>IFERROR(VLOOKUP(MUESTREO_LABORAL_A2[[#This Row],[ACTIVIDAD]],'Lista Maestra'!$D$6:$F$190,3,0),"")</f>
        <v>LIQUIDACIÓN</v>
      </c>
      <c r="K106" s="31" t="str">
        <f>IFERROR(VLOOKUP(MUESTREO_LABORAL_A2[[#This Row],[ACTIVIDAD]],'Lista Maestra'!$D$6:$F$190,2,0),"")</f>
        <v>Realizar y enviar de detalle de valores semanales a los que aplica, facturación de Grupo Noboa en SAP, envío de facturas por correo electronico</v>
      </c>
      <c r="L106" s="8" t="s">
        <v>22</v>
      </c>
      <c r="M106" s="8"/>
      <c r="N106" s="10">
        <v>0.59583333333333333</v>
      </c>
      <c r="O106" s="10">
        <v>0.60763888888888884</v>
      </c>
      <c r="P106" s="7">
        <f>IF(MUESTREO_LABORAL_A2[[#This Row],[TIEMPO INICIO]]="","",(MUESTREO_LABORAL_A2[[#This Row],[TIEMPO FIN]]-MUESTREO_LABORAL_A2[[#This Row],[TIEMPO INICIO]])*24)</f>
        <v>0.28333333333333233</v>
      </c>
      <c r="Q106" s="12"/>
      <c r="R106" s="12"/>
    </row>
    <row r="107" spans="2:18" x14ac:dyDescent="0.3">
      <c r="B107" s="8" t="s">
        <v>17</v>
      </c>
      <c r="C107" s="8" t="s">
        <v>18</v>
      </c>
      <c r="D107" s="8" t="s">
        <v>105</v>
      </c>
      <c r="E107" s="8" t="s">
        <v>106</v>
      </c>
      <c r="F107" s="9">
        <v>45985</v>
      </c>
      <c r="G107" s="8"/>
      <c r="H107" s="8"/>
      <c r="I107" s="8" t="s">
        <v>26</v>
      </c>
      <c r="J107" s="31" t="str">
        <f>IFERROR(VLOOKUP(MUESTREO_LABORAL_A2[[#This Row],[ACTIVIDAD]],'Lista Maestra'!$D$6:$F$190,3,0),"")</f>
        <v>NECESIDADES BIOLÓGICAS</v>
      </c>
      <c r="K107" s="31" t="str">
        <f>IFERROR(VLOOKUP(MUESTREO_LABORAL_A2[[#This Row],[ACTIVIDAD]],'Lista Maestra'!$D$6:$F$190,2,0),"")</f>
        <v>PROCESO DE MICCIÓN Y AGREGADOS</v>
      </c>
      <c r="L107" s="8" t="s">
        <v>26</v>
      </c>
      <c r="M107" s="8"/>
      <c r="N107" s="10">
        <v>0.60763888888888884</v>
      </c>
      <c r="O107" s="10">
        <v>0.61041666666666672</v>
      </c>
      <c r="P107" s="7">
        <f>IF(MUESTREO_LABORAL_A2[[#This Row],[TIEMPO INICIO]]="","",(MUESTREO_LABORAL_A2[[#This Row],[TIEMPO FIN]]-MUESTREO_LABORAL_A2[[#This Row],[TIEMPO INICIO]])*24)</f>
        <v>6.6666666666669094E-2</v>
      </c>
      <c r="Q107" s="12"/>
      <c r="R107" s="12"/>
    </row>
    <row r="108" spans="2:18" ht="41.4" customHeight="1" x14ac:dyDescent="0.3">
      <c r="B108" s="8" t="s">
        <v>17</v>
      </c>
      <c r="C108" s="8" t="s">
        <v>18</v>
      </c>
      <c r="D108" s="8" t="s">
        <v>105</v>
      </c>
      <c r="E108" s="8" t="s">
        <v>106</v>
      </c>
      <c r="F108" s="9">
        <v>45985</v>
      </c>
      <c r="G108" s="8"/>
      <c r="H108" s="8"/>
      <c r="I108" s="8" t="s">
        <v>121</v>
      </c>
      <c r="J108" s="31" t="str">
        <f>IFERROR(VLOOKUP(MUESTREO_LABORAL_A2[[#This Row],[ACTIVIDAD]],'Lista Maestra'!$D$6:$F$190,3,0),"")</f>
        <v>LIQUIDACIÓN</v>
      </c>
      <c r="K108" s="31" t="str">
        <f>IFERROR(VLOOKUP(MUESTREO_LABORAL_A2[[#This Row],[ACTIVIDAD]],'Lista Maestra'!$D$6:$F$190,2,0),"")</f>
        <v>Realizar y enviar de detalle de valores semanales a los que aplica, facturación de Grupo Noboa en SAP, envío de facturas por correo electronico</v>
      </c>
      <c r="L108" s="8" t="s">
        <v>22</v>
      </c>
      <c r="M108" s="8"/>
      <c r="N108" s="10">
        <v>0.61041666666666672</v>
      </c>
      <c r="O108" s="10">
        <v>0.61597222222222225</v>
      </c>
      <c r="P108" s="7">
        <f>IF(MUESTREO_LABORAL_A2[[#This Row],[TIEMPO INICIO]]="","",(MUESTREO_LABORAL_A2[[#This Row],[TIEMPO FIN]]-MUESTREO_LABORAL_A2[[#This Row],[TIEMPO INICIO]])*24)</f>
        <v>0.13333333333333286</v>
      </c>
      <c r="Q108" s="12"/>
      <c r="R108" s="12"/>
    </row>
    <row r="109" spans="2:18" ht="41.4" customHeight="1" x14ac:dyDescent="0.3">
      <c r="B109" s="8" t="s">
        <v>17</v>
      </c>
      <c r="C109" s="8" t="s">
        <v>18</v>
      </c>
      <c r="D109" s="8" t="s">
        <v>105</v>
      </c>
      <c r="E109" s="8" t="s">
        <v>106</v>
      </c>
      <c r="F109" s="9">
        <v>45985</v>
      </c>
      <c r="G109" s="8"/>
      <c r="H109" s="8"/>
      <c r="I109" s="8" t="s">
        <v>108</v>
      </c>
      <c r="J109" s="31" t="str">
        <f>IFERROR(VLOOKUP(MUESTREO_LABORAL_A2[[#This Row],[ACTIVIDAD]],'Lista Maestra'!$D$6:$F$190,3,0),"")</f>
        <v>GESTIÓN DOCUMENTAL</v>
      </c>
      <c r="K109" s="31" t="str">
        <f>IFERROR(VLOOKUP(MUESTREO_LABORAL_A2[[#This Row],[ACTIVIDAD]],'Lista Maestra'!$D$6:$F$190,2,0),"")</f>
        <v>Análisis y revisión del reporte de cobro de contenedores (Andrea Bowen) a productores directos y por medio de liquidación BANANO-aplicación de criterios</v>
      </c>
      <c r="L109" s="8" t="s">
        <v>22</v>
      </c>
      <c r="M109" s="8"/>
      <c r="N109" s="10">
        <v>0.61597222222222225</v>
      </c>
      <c r="O109" s="10">
        <v>0.61875000000000002</v>
      </c>
      <c r="P109" s="7">
        <f>IF(MUESTREO_LABORAL_A2[[#This Row],[TIEMPO INICIO]]="","",(MUESTREO_LABORAL_A2[[#This Row],[TIEMPO FIN]]-MUESTREO_LABORAL_A2[[#This Row],[TIEMPO INICIO]])*24)</f>
        <v>6.666666666666643E-2</v>
      </c>
      <c r="Q109" s="12"/>
      <c r="R109" s="12"/>
    </row>
    <row r="110" spans="2:18" ht="55.2" customHeight="1" x14ac:dyDescent="0.3">
      <c r="B110" s="8" t="s">
        <v>17</v>
      </c>
      <c r="C110" s="8" t="s">
        <v>18</v>
      </c>
      <c r="D110" s="8" t="s">
        <v>105</v>
      </c>
      <c r="E110" s="8" t="s">
        <v>106</v>
      </c>
      <c r="F110" s="9">
        <v>45985</v>
      </c>
      <c r="G110" s="8"/>
      <c r="H110" s="8"/>
      <c r="I110" s="8" t="s">
        <v>118</v>
      </c>
      <c r="J110" s="31" t="str">
        <f>IFERROR(VLOOKUP(MUESTREO_LABORAL_A2[[#This Row],[ACTIVIDAD]],'Lista Maestra'!$D$6:$F$190,3,0),"")</f>
        <v>GESTIÓN DOCUMENTAL</v>
      </c>
      <c r="K110" s="31" t="str">
        <f>IFERROR(VLOOKUP(MUESTREO_LABORAL_A2[[#This Row],[ACTIVIDAD]],'Lista Maestra'!$D$6:$F$190,2,0),"")</f>
        <v>Analisis y revision del reporte de movimiento de fruta y bajo cubierta junto con Ricardo Salinas para envio a (Andrea Bowen) y elaboración de guías de remisión, para proceder con la facturación</v>
      </c>
      <c r="L110" s="8" t="s">
        <v>22</v>
      </c>
      <c r="M110" s="8"/>
      <c r="N110" s="10">
        <v>0.61875000000000002</v>
      </c>
      <c r="O110" s="10">
        <v>0.62916666666666665</v>
      </c>
      <c r="P110" s="7">
        <f>IF(MUESTREO_LABORAL_A2[[#This Row],[TIEMPO INICIO]]="","",(MUESTREO_LABORAL_A2[[#This Row],[TIEMPO FIN]]-MUESTREO_LABORAL_A2[[#This Row],[TIEMPO INICIO]])*24)</f>
        <v>0.24999999999999911</v>
      </c>
      <c r="Q110" s="12"/>
      <c r="R110" s="12"/>
    </row>
    <row r="111" spans="2:18" ht="41.4" customHeight="1" x14ac:dyDescent="0.3">
      <c r="B111" s="8" t="s">
        <v>17</v>
      </c>
      <c r="C111" s="8" t="s">
        <v>18</v>
      </c>
      <c r="D111" s="8" t="s">
        <v>105</v>
      </c>
      <c r="E111" s="8" t="s">
        <v>106</v>
      </c>
      <c r="F111" s="9">
        <v>45986</v>
      </c>
      <c r="G111" s="8"/>
      <c r="H111" s="8"/>
      <c r="I111" s="8" t="s">
        <v>108</v>
      </c>
      <c r="J111" s="31" t="str">
        <f>IFERROR(VLOOKUP(MUESTREO_LABORAL_A2[[#This Row],[ACTIVIDAD]],'Lista Maestra'!$D$6:$F$190,3,0),"")</f>
        <v>GESTIÓN DOCUMENTAL</v>
      </c>
      <c r="K111" s="31" t="str">
        <f>IFERROR(VLOOKUP(MUESTREO_LABORAL_A2[[#This Row],[ACTIVIDAD]],'Lista Maestra'!$D$6:$F$190,2,0),"")</f>
        <v>Análisis y revisión del reporte de cobro de contenedores (Andrea Bowen) a productores directos y por medio de liquidación BANANO-aplicación de criterios</v>
      </c>
      <c r="L111" s="8" t="s">
        <v>22</v>
      </c>
      <c r="M111" s="8"/>
      <c r="N111" s="10">
        <v>0.35416666666666669</v>
      </c>
      <c r="O111" s="10">
        <v>0.38680555555555562</v>
      </c>
      <c r="P111" s="7">
        <f>IF(MUESTREO_LABORAL_A2[[#This Row],[TIEMPO INICIO]]="","",(MUESTREO_LABORAL_A2[[#This Row],[TIEMPO FIN]]-MUESTREO_LABORAL_A2[[#This Row],[TIEMPO INICIO]])*24)</f>
        <v>0.78333333333333455</v>
      </c>
      <c r="Q111" s="12"/>
      <c r="R111" s="12"/>
    </row>
    <row r="112" spans="2:18" ht="27.6" customHeight="1" x14ac:dyDescent="0.3">
      <c r="B112" s="8" t="s">
        <v>17</v>
      </c>
      <c r="C112" s="8" t="s">
        <v>18</v>
      </c>
      <c r="D112" s="8" t="s">
        <v>105</v>
      </c>
      <c r="E112" s="8" t="s">
        <v>106</v>
      </c>
      <c r="F112" s="9">
        <v>45986</v>
      </c>
      <c r="G112" s="8"/>
      <c r="H112" s="8"/>
      <c r="I112" s="8" t="s">
        <v>113</v>
      </c>
      <c r="J112" s="31" t="str">
        <f>IFERROR(VLOOKUP(MUESTREO_LABORAL_A2[[#This Row],[ACTIVIDAD]],'Lista Maestra'!$D$6:$F$190,3,0),"")</f>
        <v>PLANIFICACIÓN</v>
      </c>
      <c r="K112"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112" s="8" t="s">
        <v>22</v>
      </c>
      <c r="M112" s="8"/>
      <c r="N112" s="10">
        <v>0.38680555555555562</v>
      </c>
      <c r="O112" s="10">
        <v>0.38819444444444451</v>
      </c>
      <c r="P112" s="7">
        <f>IF(MUESTREO_LABORAL_A2[[#This Row],[TIEMPO INICIO]]="","",(MUESTREO_LABORAL_A2[[#This Row],[TIEMPO FIN]]-MUESTREO_LABORAL_A2[[#This Row],[TIEMPO INICIO]])*24)</f>
        <v>3.3333333333333215E-2</v>
      </c>
      <c r="Q112" s="12"/>
      <c r="R112" s="12"/>
    </row>
    <row r="113" spans="2:18" x14ac:dyDescent="0.3">
      <c r="B113" s="8" t="s">
        <v>17</v>
      </c>
      <c r="C113" s="8" t="s">
        <v>18</v>
      </c>
      <c r="D113" s="8" t="s">
        <v>105</v>
      </c>
      <c r="E113" s="8" t="s">
        <v>106</v>
      </c>
      <c r="F113" s="9">
        <v>45986</v>
      </c>
      <c r="G113" s="8"/>
      <c r="H113" s="8"/>
      <c r="I113" s="8" t="s">
        <v>26</v>
      </c>
      <c r="J113" s="31" t="str">
        <f>IFERROR(VLOOKUP(MUESTREO_LABORAL_A2[[#This Row],[ACTIVIDAD]],'Lista Maestra'!$D$6:$F$190,3,0),"")</f>
        <v>NECESIDADES BIOLÓGICAS</v>
      </c>
      <c r="K113" s="31" t="str">
        <f>IFERROR(VLOOKUP(MUESTREO_LABORAL_A2[[#This Row],[ACTIVIDAD]],'Lista Maestra'!$D$6:$F$190,2,0),"")</f>
        <v>PROCESO DE MICCIÓN Y AGREGADOS</v>
      </c>
      <c r="L113" s="8" t="s">
        <v>26</v>
      </c>
      <c r="M113" s="8"/>
      <c r="N113" s="10">
        <v>0.38819444444444451</v>
      </c>
      <c r="O113" s="10">
        <v>0.39027777777777778</v>
      </c>
      <c r="P113" s="7">
        <f>IF(MUESTREO_LABORAL_A2[[#This Row],[TIEMPO INICIO]]="","",(MUESTREO_LABORAL_A2[[#This Row],[TIEMPO FIN]]-MUESTREO_LABORAL_A2[[#This Row],[TIEMPO INICIO]])*24)</f>
        <v>4.999999999999849E-2</v>
      </c>
      <c r="Q113" s="12"/>
      <c r="R113" s="12"/>
    </row>
    <row r="114" spans="2:18" ht="27.6" customHeight="1" x14ac:dyDescent="0.3">
      <c r="B114" s="8" t="s">
        <v>17</v>
      </c>
      <c r="C114" s="8" t="s">
        <v>18</v>
      </c>
      <c r="D114" s="8" t="s">
        <v>105</v>
      </c>
      <c r="E114" s="8" t="s">
        <v>106</v>
      </c>
      <c r="F114" s="9">
        <v>45986</v>
      </c>
      <c r="G114" s="8"/>
      <c r="H114" s="8"/>
      <c r="I114" s="8" t="s">
        <v>113</v>
      </c>
      <c r="J114" s="31" t="str">
        <f>IFERROR(VLOOKUP(MUESTREO_LABORAL_A2[[#This Row],[ACTIVIDAD]],'Lista Maestra'!$D$6:$F$190,3,0),"")</f>
        <v>PLANIFICACIÓN</v>
      </c>
      <c r="K114"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114" s="8" t="s">
        <v>22</v>
      </c>
      <c r="M114" s="8"/>
      <c r="N114" s="10">
        <v>0.39027777777777778</v>
      </c>
      <c r="O114" s="10">
        <v>0.46180555555555558</v>
      </c>
      <c r="P114" s="7">
        <f>IF(MUESTREO_LABORAL_A2[[#This Row],[TIEMPO INICIO]]="","",(MUESTREO_LABORAL_A2[[#This Row],[TIEMPO FIN]]-MUESTREO_LABORAL_A2[[#This Row],[TIEMPO INICIO]])*24)</f>
        <v>1.7166666666666672</v>
      </c>
      <c r="Q114" s="12"/>
      <c r="R114" s="12"/>
    </row>
    <row r="115" spans="2:18" ht="69" customHeight="1" x14ac:dyDescent="0.3">
      <c r="B115" s="8" t="s">
        <v>17</v>
      </c>
      <c r="C115" s="8" t="s">
        <v>18</v>
      </c>
      <c r="D115" s="8" t="s">
        <v>105</v>
      </c>
      <c r="E115" s="8" t="s">
        <v>106</v>
      </c>
      <c r="F115" s="9">
        <v>45986</v>
      </c>
      <c r="G115" s="8"/>
      <c r="H115" s="8"/>
      <c r="I115" s="8" t="s">
        <v>122</v>
      </c>
      <c r="J115" s="31" t="str">
        <f>IFERROR(VLOOKUP(MUESTREO_LABORAL_A2[[#This Row],[ACTIVIDAD]],'Lista Maestra'!$D$6:$F$190,3,0),"")</f>
        <v>PLANIFICACIÓN</v>
      </c>
      <c r="K115" s="31" t="str">
        <f>IFERROR(VLOOKUP(MUESTREO_LABORAL_A2[[#This Row],[ACTIVIDAD]],'Lista Maestra'!$D$6:$F$190,2,0),"")</f>
        <v>Elaborar, actualizar y gestionar el listado y la documentación de los conductores y transportistas tercerizados, verificando el cumplimiento de los requisitos y estándares establecidos por la auditoría basc. asegurar que toda la información se mantenga vigente.</v>
      </c>
      <c r="L115" s="8" t="s">
        <v>22</v>
      </c>
      <c r="M115" s="8"/>
      <c r="N115" s="10">
        <v>0.39652777777777781</v>
      </c>
      <c r="O115" s="10">
        <v>0.44236111111111109</v>
      </c>
      <c r="P115" s="7">
        <f>IF(MUESTREO_LABORAL_A2[[#This Row],[TIEMPO INICIO]]="","",(MUESTREO_LABORAL_A2[[#This Row],[TIEMPO FIN]]-MUESTREO_LABORAL_A2[[#This Row],[TIEMPO INICIO]])*24)</f>
        <v>1.0999999999999988</v>
      </c>
      <c r="Q115" s="12"/>
      <c r="R115" s="12"/>
    </row>
    <row r="116" spans="2:18" ht="55.2" customHeight="1" x14ac:dyDescent="0.3">
      <c r="B116" s="8" t="s">
        <v>17</v>
      </c>
      <c r="C116" s="8" t="s">
        <v>18</v>
      </c>
      <c r="D116" s="8" t="s">
        <v>105</v>
      </c>
      <c r="E116" s="8" t="s">
        <v>106</v>
      </c>
      <c r="F116" s="9">
        <v>45986</v>
      </c>
      <c r="G116" s="8"/>
      <c r="H116" s="8"/>
      <c r="I116" s="8" t="s">
        <v>118</v>
      </c>
      <c r="J116" s="31" t="str">
        <f>IFERROR(VLOOKUP(MUESTREO_LABORAL_A2[[#This Row],[ACTIVIDAD]],'Lista Maestra'!$D$6:$F$190,3,0),"")</f>
        <v>GESTIÓN DOCUMENTAL</v>
      </c>
      <c r="K116" s="31" t="str">
        <f>IFERROR(VLOOKUP(MUESTREO_LABORAL_A2[[#This Row],[ACTIVIDAD]],'Lista Maestra'!$D$6:$F$190,2,0),"")</f>
        <v>Analisis y revision del reporte de movimiento de fruta y bajo cubierta junto con Ricardo Salinas para envio a (Andrea Bowen) y elaboración de guías de remisión, para proceder con la facturación</v>
      </c>
      <c r="L116" s="8" t="s">
        <v>22</v>
      </c>
      <c r="M116" s="8"/>
      <c r="N116" s="10">
        <v>0.46180555555555558</v>
      </c>
      <c r="O116" s="10">
        <v>0.46527777777777779</v>
      </c>
      <c r="P116" s="7">
        <f>IF(MUESTREO_LABORAL_A2[[#This Row],[TIEMPO INICIO]]="","",(MUESTREO_LABORAL_A2[[#This Row],[TIEMPO FIN]]-MUESTREO_LABORAL_A2[[#This Row],[TIEMPO INICIO]])*24)</f>
        <v>8.3333333333333037E-2</v>
      </c>
      <c r="Q116" s="12"/>
      <c r="R116" s="12"/>
    </row>
    <row r="117" spans="2:18" ht="41.4" customHeight="1" x14ac:dyDescent="0.3">
      <c r="B117" s="8" t="s">
        <v>17</v>
      </c>
      <c r="C117" s="8" t="s">
        <v>18</v>
      </c>
      <c r="D117" s="8" t="s">
        <v>105</v>
      </c>
      <c r="E117" s="8" t="s">
        <v>106</v>
      </c>
      <c r="F117" s="9">
        <v>45986</v>
      </c>
      <c r="G117" s="8"/>
      <c r="H117" s="8"/>
      <c r="I117" s="8" t="s">
        <v>120</v>
      </c>
      <c r="J117" s="31" t="str">
        <f>IFERROR(VLOOKUP(MUESTREO_LABORAL_A2[[#This Row],[ACTIVIDAD]],'Lista Maestra'!$D$6:$F$190,3,0),"")</f>
        <v>GESTIÓN DOCUMENTAL</v>
      </c>
      <c r="K117" s="31" t="str">
        <f>IFERROR(VLOOKUP(MUESTREO_LABORAL_A2[[#This Row],[ACTIVIDAD]],'Lista Maestra'!$D$6:$F$190,2,0),"")</f>
        <v>Elaboración de informe de facturacion de contenedores, emisión de notas de credito por roleos y costos TFE, refacturaciones semanales de contenedores de productores varios y MLC</v>
      </c>
      <c r="L117" s="8" t="s">
        <v>22</v>
      </c>
      <c r="M117" s="8"/>
      <c r="N117" s="10">
        <v>0.46527777777777779</v>
      </c>
      <c r="O117" s="10">
        <v>0.50138888888888888</v>
      </c>
      <c r="P117" s="7">
        <f>IF(MUESTREO_LABORAL_A2[[#This Row],[TIEMPO INICIO]]="","",(MUESTREO_LABORAL_A2[[#This Row],[TIEMPO FIN]]-MUESTREO_LABORAL_A2[[#This Row],[TIEMPO INICIO]])*24)</f>
        <v>0.86666666666666625</v>
      </c>
      <c r="Q117" s="12"/>
      <c r="R117" s="12"/>
    </row>
    <row r="118" spans="2:18" ht="27.6" customHeight="1" x14ac:dyDescent="0.3">
      <c r="B118" s="8" t="s">
        <v>17</v>
      </c>
      <c r="C118" s="8" t="s">
        <v>18</v>
      </c>
      <c r="D118" s="8" t="s">
        <v>105</v>
      </c>
      <c r="E118" s="8" t="s">
        <v>106</v>
      </c>
      <c r="F118" s="9">
        <v>45986</v>
      </c>
      <c r="G118" s="8"/>
      <c r="H118" s="8"/>
      <c r="I118" s="8" t="s">
        <v>113</v>
      </c>
      <c r="J118" s="31" t="str">
        <f>IFERROR(VLOOKUP(MUESTREO_LABORAL_A2[[#This Row],[ACTIVIDAD]],'Lista Maestra'!$D$6:$F$190,3,0),"")</f>
        <v>PLANIFICACIÓN</v>
      </c>
      <c r="K118"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118" s="8" t="s">
        <v>22</v>
      </c>
      <c r="M118" s="8"/>
      <c r="N118" s="10">
        <v>0.46597222222222218</v>
      </c>
      <c r="O118" s="10">
        <v>0.50138888888888888</v>
      </c>
      <c r="P118" s="7">
        <f>IF(MUESTREO_LABORAL_A2[[#This Row],[TIEMPO INICIO]]="","",(MUESTREO_LABORAL_A2[[#This Row],[TIEMPO FIN]]-MUESTREO_LABORAL_A2[[#This Row],[TIEMPO INICIO]])*24)</f>
        <v>0.85000000000000098</v>
      </c>
      <c r="Q118" s="12"/>
      <c r="R118" s="12"/>
    </row>
    <row r="119" spans="2:18" x14ac:dyDescent="0.3">
      <c r="B119" s="8" t="s">
        <v>17</v>
      </c>
      <c r="C119" s="8" t="s">
        <v>18</v>
      </c>
      <c r="D119" s="8" t="s">
        <v>105</v>
      </c>
      <c r="E119" s="8" t="s">
        <v>106</v>
      </c>
      <c r="F119" s="9">
        <v>45986</v>
      </c>
      <c r="G119" s="8"/>
      <c r="H119" s="8"/>
      <c r="I119" s="8" t="s">
        <v>123</v>
      </c>
      <c r="J119" s="31" t="str">
        <f>IFERROR(VLOOKUP(MUESTREO_LABORAL_A2[[#This Row],[ACTIVIDAD]],'Lista Maestra'!$D$6:$F$190,3,0),"")</f>
        <v>GESTIÓN DOCUMENTAL</v>
      </c>
      <c r="K119" s="31" t="str">
        <f>IFERROR(VLOOKUP(MUESTREO_LABORAL_A2[[#This Row],[ACTIVIDAD]],'Lista Maestra'!$D$6:$F$190,2,0),"")</f>
        <v>Revisión general de guias abiertas y devueltas</v>
      </c>
      <c r="L119" s="8" t="s">
        <v>22</v>
      </c>
      <c r="M119" s="8"/>
      <c r="N119" s="10">
        <v>0.49861111111111112</v>
      </c>
      <c r="O119" s="10">
        <v>0.50138888888888888</v>
      </c>
      <c r="P119" s="7">
        <f>IF(MUESTREO_LABORAL_A2[[#This Row],[TIEMPO INICIO]]="","",(MUESTREO_LABORAL_A2[[#This Row],[TIEMPO FIN]]-MUESTREO_LABORAL_A2[[#This Row],[TIEMPO INICIO]])*24)</f>
        <v>6.666666666666643E-2</v>
      </c>
      <c r="Q119" s="12"/>
      <c r="R119" s="12"/>
    </row>
    <row r="120" spans="2:18" ht="55.2" customHeight="1" x14ac:dyDescent="0.3">
      <c r="B120" s="8" t="s">
        <v>17</v>
      </c>
      <c r="C120" s="8" t="s">
        <v>18</v>
      </c>
      <c r="D120" s="8" t="s">
        <v>105</v>
      </c>
      <c r="E120" s="8" t="s">
        <v>106</v>
      </c>
      <c r="F120" s="9">
        <v>45986</v>
      </c>
      <c r="G120" s="8"/>
      <c r="H120" s="8"/>
      <c r="I120" s="8" t="s">
        <v>114</v>
      </c>
      <c r="J120" s="31" t="str">
        <f>IFERROR(VLOOKUP(MUESTREO_LABORAL_A2[[#This Row],[ACTIVIDAD]],'Lista Maestra'!$D$6:$F$190,3,0),"")</f>
        <v>GESTIÓN DOCUMENTAL</v>
      </c>
      <c r="K120" s="31" t="str">
        <f>IFERROR(VLOOKUP(MUESTREO_LABORAL_A2[[#This Row],[ACTIVIDAD]],'Lista Maestra'!$D$6:$F$190,2,0),"")</f>
        <v>Elaboración de plantillas y guias en SAP de retiros de contenedores, se enviá la factura mediante correo adjuntando el soporte (statement) y en SAP se procede a reclasificar por semanas</v>
      </c>
      <c r="L120" s="8" t="s">
        <v>22</v>
      </c>
      <c r="M120" s="8"/>
      <c r="N120" s="10">
        <v>0.50138888888888888</v>
      </c>
      <c r="O120" s="10">
        <v>0.50902777777777775</v>
      </c>
      <c r="P120" s="7">
        <f>IF(MUESTREO_LABORAL_A2[[#This Row],[TIEMPO INICIO]]="","",(MUESTREO_LABORAL_A2[[#This Row],[TIEMPO FIN]]-MUESTREO_LABORAL_A2[[#This Row],[TIEMPO INICIO]])*24)</f>
        <v>0.18333333333333268</v>
      </c>
      <c r="Q120" s="12"/>
      <c r="R120" s="12"/>
    </row>
    <row r="121" spans="2:18" ht="55.2" customHeight="1" x14ac:dyDescent="0.3">
      <c r="B121" s="8" t="s">
        <v>17</v>
      </c>
      <c r="C121" s="8" t="s">
        <v>18</v>
      </c>
      <c r="D121" s="8" t="s">
        <v>105</v>
      </c>
      <c r="E121" s="8" t="s">
        <v>106</v>
      </c>
      <c r="F121" s="9">
        <v>45986</v>
      </c>
      <c r="G121" s="8"/>
      <c r="H121" s="8"/>
      <c r="I121" s="8" t="s">
        <v>118</v>
      </c>
      <c r="J121" s="31" t="str">
        <f>IFERROR(VLOOKUP(MUESTREO_LABORAL_A2[[#This Row],[ACTIVIDAD]],'Lista Maestra'!$D$6:$F$190,3,0),"")</f>
        <v>GESTIÓN DOCUMENTAL</v>
      </c>
      <c r="K121" s="31" t="str">
        <f>IFERROR(VLOOKUP(MUESTREO_LABORAL_A2[[#This Row],[ACTIVIDAD]],'Lista Maestra'!$D$6:$F$190,2,0),"")</f>
        <v>Analisis y revision del reporte de movimiento de fruta y bajo cubierta junto con Ricardo Salinas para envio a (Andrea Bowen) y elaboración de guías de remisión, para proceder con la facturación</v>
      </c>
      <c r="L121" s="8" t="s">
        <v>22</v>
      </c>
      <c r="M121" s="8"/>
      <c r="N121" s="10">
        <v>0.50902777777777775</v>
      </c>
      <c r="O121" s="10">
        <v>0.51597222222222228</v>
      </c>
      <c r="P121" s="7">
        <f>IF(MUESTREO_LABORAL_A2[[#This Row],[TIEMPO INICIO]]="","",(MUESTREO_LABORAL_A2[[#This Row],[TIEMPO FIN]]-MUESTREO_LABORAL_A2[[#This Row],[TIEMPO INICIO]])*24)</f>
        <v>0.16666666666666874</v>
      </c>
      <c r="Q121" s="12"/>
      <c r="R121" s="12"/>
    </row>
    <row r="122" spans="2:18" x14ac:dyDescent="0.3">
      <c r="B122" s="8" t="s">
        <v>17</v>
      </c>
      <c r="C122" s="8" t="s">
        <v>18</v>
      </c>
      <c r="D122" s="8" t="s">
        <v>105</v>
      </c>
      <c r="E122" s="8" t="s">
        <v>106</v>
      </c>
      <c r="F122" s="9">
        <v>45986</v>
      </c>
      <c r="G122" s="8"/>
      <c r="H122" s="8"/>
      <c r="I122" s="8" t="s">
        <v>33</v>
      </c>
      <c r="J122" s="31" t="str">
        <f>IFERROR(VLOOKUP(MUESTREO_LABORAL_A2[[#This Row],[ACTIVIDAD]],'Lista Maestra'!$D$6:$F$190,3,0),"")</f>
        <v>ALIMENTACIÓN</v>
      </c>
      <c r="K122" s="31" t="str">
        <f>IFERROR(VLOOKUP(MUESTREO_LABORAL_A2[[#This Row],[ACTIVIDAD]],'Lista Maestra'!$D$6:$F$190,2,0),"")</f>
        <v>ALIMENTARSE</v>
      </c>
      <c r="L122" s="8" t="s">
        <v>33</v>
      </c>
      <c r="M122" s="8"/>
      <c r="N122" s="10">
        <v>0.51597222222222228</v>
      </c>
      <c r="O122" s="10">
        <v>0.55138888888888893</v>
      </c>
      <c r="P122" s="7">
        <f>IF(MUESTREO_LABORAL_A2[[#This Row],[TIEMPO INICIO]]="","",(MUESTREO_LABORAL_A2[[#This Row],[TIEMPO FIN]]-MUESTREO_LABORAL_A2[[#This Row],[TIEMPO INICIO]])*24)</f>
        <v>0.84999999999999964</v>
      </c>
      <c r="Q122" s="12"/>
      <c r="R122" s="12"/>
    </row>
    <row r="123" spans="2:18" ht="55.2" customHeight="1" x14ac:dyDescent="0.3">
      <c r="B123" s="8" t="s">
        <v>17</v>
      </c>
      <c r="C123" s="8" t="s">
        <v>18</v>
      </c>
      <c r="D123" s="8" t="s">
        <v>105</v>
      </c>
      <c r="E123" s="8" t="s">
        <v>106</v>
      </c>
      <c r="F123" s="9">
        <v>45986</v>
      </c>
      <c r="G123" s="8"/>
      <c r="H123" s="8"/>
      <c r="I123" s="8" t="s">
        <v>114</v>
      </c>
      <c r="J123" s="31" t="str">
        <f>IFERROR(VLOOKUP(MUESTREO_LABORAL_A2[[#This Row],[ACTIVIDAD]],'Lista Maestra'!$D$6:$F$190,3,0),"")</f>
        <v>GESTIÓN DOCUMENTAL</v>
      </c>
      <c r="K123" s="31" t="str">
        <f>IFERROR(VLOOKUP(MUESTREO_LABORAL_A2[[#This Row],[ACTIVIDAD]],'Lista Maestra'!$D$6:$F$190,2,0),"")</f>
        <v>Elaboración de plantillas y guias en SAP de retiros de contenedores, se enviá la factura mediante correo adjuntando el soporte (statement) y en SAP se procede a reclasificar por semanas</v>
      </c>
      <c r="L123" s="8" t="s">
        <v>22</v>
      </c>
      <c r="M123" s="8"/>
      <c r="N123" s="10">
        <v>0.55138888888888893</v>
      </c>
      <c r="O123" s="10">
        <v>0.5854166666666667</v>
      </c>
      <c r="P123" s="7">
        <f>IF(MUESTREO_LABORAL_A2[[#This Row],[TIEMPO INICIO]]="","",(MUESTREO_LABORAL_A2[[#This Row],[TIEMPO FIN]]-MUESTREO_LABORAL_A2[[#This Row],[TIEMPO INICIO]])*24)</f>
        <v>0.81666666666666643</v>
      </c>
      <c r="Q123" s="12"/>
      <c r="R123" s="12"/>
    </row>
    <row r="124" spans="2:18" ht="27.6" customHeight="1" x14ac:dyDescent="0.3">
      <c r="B124" s="8" t="s">
        <v>17</v>
      </c>
      <c r="C124" s="8" t="s">
        <v>18</v>
      </c>
      <c r="D124" s="8" t="s">
        <v>105</v>
      </c>
      <c r="E124" s="8" t="s">
        <v>106</v>
      </c>
      <c r="F124" s="9">
        <v>45986</v>
      </c>
      <c r="G124" s="8"/>
      <c r="H124" s="8"/>
      <c r="I124" s="8" t="s">
        <v>107</v>
      </c>
      <c r="J124" s="31" t="str">
        <f>IFERROR(VLOOKUP(MUESTREO_LABORAL_A2[[#This Row],[ACTIVIDAD]],'Lista Maestra'!$D$6:$F$190,3,0),"")</f>
        <v>CREACIÓN SAP</v>
      </c>
      <c r="K124" s="31" t="str">
        <f>IFERROR(VLOOKUP(MUESTREO_LABORAL_A2[[#This Row],[ACTIVIDAD]],'Lista Maestra'!$D$6:$F$190,2,0),"")</f>
        <v>Realizar la creación de nuevos proveedores, creación de nuevos artículos solicitados por los departamentos establecidos.</v>
      </c>
      <c r="L124" s="8" t="s">
        <v>22</v>
      </c>
      <c r="M124" s="8"/>
      <c r="N124" s="10">
        <v>0.56874999999999998</v>
      </c>
      <c r="O124" s="10">
        <v>0.57152777777777775</v>
      </c>
      <c r="P124" s="7">
        <f>IF(MUESTREO_LABORAL_A2[[#This Row],[TIEMPO INICIO]]="","",(MUESTREO_LABORAL_A2[[#This Row],[TIEMPO FIN]]-MUESTREO_LABORAL_A2[[#This Row],[TIEMPO INICIO]])*24)</f>
        <v>6.666666666666643E-2</v>
      </c>
      <c r="Q124" s="12"/>
      <c r="R124" s="12"/>
    </row>
    <row r="125" spans="2:18" x14ac:dyDescent="0.3">
      <c r="B125" s="8" t="s">
        <v>17</v>
      </c>
      <c r="C125" s="8" t="s">
        <v>18</v>
      </c>
      <c r="D125" s="8" t="s">
        <v>105</v>
      </c>
      <c r="E125" s="8" t="s">
        <v>106</v>
      </c>
      <c r="F125" s="9">
        <v>45986</v>
      </c>
      <c r="G125" s="8"/>
      <c r="H125" s="8"/>
      <c r="I125" s="8" t="s">
        <v>26</v>
      </c>
      <c r="J125" s="31" t="str">
        <f>IFERROR(VLOOKUP(MUESTREO_LABORAL_A2[[#This Row],[ACTIVIDAD]],'Lista Maestra'!$D$6:$F$190,3,0),"")</f>
        <v>NECESIDADES BIOLÓGICAS</v>
      </c>
      <c r="K125" s="31" t="str">
        <f>IFERROR(VLOOKUP(MUESTREO_LABORAL_A2[[#This Row],[ACTIVIDAD]],'Lista Maestra'!$D$6:$F$190,2,0),"")</f>
        <v>PROCESO DE MICCIÓN Y AGREGADOS</v>
      </c>
      <c r="L125" s="8" t="s">
        <v>26</v>
      </c>
      <c r="M125" s="8"/>
      <c r="N125" s="10">
        <v>0.5854166666666667</v>
      </c>
      <c r="O125" s="10">
        <v>0.58680555555555558</v>
      </c>
      <c r="P125" s="7">
        <f>IF(MUESTREO_LABORAL_A2[[#This Row],[TIEMPO INICIO]]="","",(MUESTREO_LABORAL_A2[[#This Row],[TIEMPO FIN]]-MUESTREO_LABORAL_A2[[#This Row],[TIEMPO INICIO]])*24)</f>
        <v>3.3333333333333215E-2</v>
      </c>
      <c r="Q125" s="12"/>
      <c r="R125" s="12"/>
    </row>
    <row r="126" spans="2:18" ht="55.2" customHeight="1" x14ac:dyDescent="0.3">
      <c r="B126" s="8" t="s">
        <v>17</v>
      </c>
      <c r="C126" s="8" t="s">
        <v>18</v>
      </c>
      <c r="D126" s="8" t="s">
        <v>105</v>
      </c>
      <c r="E126" s="8" t="s">
        <v>106</v>
      </c>
      <c r="F126" s="9">
        <v>45986</v>
      </c>
      <c r="G126" s="8"/>
      <c r="H126" s="8"/>
      <c r="I126" s="8" t="s">
        <v>114</v>
      </c>
      <c r="J126" s="31" t="str">
        <f>IFERROR(VLOOKUP(MUESTREO_LABORAL_A2[[#This Row],[ACTIVIDAD]],'Lista Maestra'!$D$6:$F$190,3,0),"")</f>
        <v>GESTIÓN DOCUMENTAL</v>
      </c>
      <c r="K126" s="31" t="str">
        <f>IFERROR(VLOOKUP(MUESTREO_LABORAL_A2[[#This Row],[ACTIVIDAD]],'Lista Maestra'!$D$6:$F$190,2,0),"")</f>
        <v>Elaboración de plantillas y guias en SAP de retiros de contenedores, se enviá la factura mediante correo adjuntando el soporte (statement) y en SAP se procede a reclasificar por semanas</v>
      </c>
      <c r="L126" s="8" t="s">
        <v>22</v>
      </c>
      <c r="M126" s="8"/>
      <c r="N126" s="10">
        <v>0.58680555555555558</v>
      </c>
      <c r="O126" s="10">
        <v>0.60347222222222219</v>
      </c>
      <c r="P126" s="7">
        <f>IF(MUESTREO_LABORAL_A2[[#This Row],[TIEMPO INICIO]]="","",(MUESTREO_LABORAL_A2[[#This Row],[TIEMPO FIN]]-MUESTREO_LABORAL_A2[[#This Row],[TIEMPO INICIO]])*24)</f>
        <v>0.39999999999999858</v>
      </c>
      <c r="Q126" s="12"/>
      <c r="R126" s="12"/>
    </row>
    <row r="127" spans="2:18" ht="27.6" customHeight="1" x14ac:dyDescent="0.3">
      <c r="B127" s="8" t="s">
        <v>17</v>
      </c>
      <c r="C127" s="8" t="s">
        <v>18</v>
      </c>
      <c r="D127" s="8" t="s">
        <v>105</v>
      </c>
      <c r="E127" s="8" t="s">
        <v>106</v>
      </c>
      <c r="F127" s="9">
        <v>45986</v>
      </c>
      <c r="G127" s="8"/>
      <c r="H127" s="8"/>
      <c r="I127" s="8" t="s">
        <v>113</v>
      </c>
      <c r="J127" s="31" t="str">
        <f>IFERROR(VLOOKUP(MUESTREO_LABORAL_A2[[#This Row],[ACTIVIDAD]],'Lista Maestra'!$D$6:$F$190,3,0),"")</f>
        <v>PLANIFICACIÓN</v>
      </c>
      <c r="K127"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127" s="8" t="s">
        <v>22</v>
      </c>
      <c r="M127" s="8"/>
      <c r="N127" s="10">
        <v>0.60347222222222219</v>
      </c>
      <c r="O127" s="10">
        <v>0.60763888888888884</v>
      </c>
      <c r="P127" s="7">
        <f>IF(MUESTREO_LABORAL_A2[[#This Row],[TIEMPO INICIO]]="","",(MUESTREO_LABORAL_A2[[#This Row],[TIEMPO FIN]]-MUESTREO_LABORAL_A2[[#This Row],[TIEMPO INICIO]])*24)</f>
        <v>9.9999999999999645E-2</v>
      </c>
      <c r="Q127" s="12"/>
      <c r="R127" s="12"/>
    </row>
    <row r="128" spans="2:18" ht="27.6" customHeight="1" x14ac:dyDescent="0.3">
      <c r="B128" s="8" t="s">
        <v>17</v>
      </c>
      <c r="C128" s="8" t="s">
        <v>18</v>
      </c>
      <c r="D128" s="8" t="s">
        <v>105</v>
      </c>
      <c r="E128" s="8" t="s">
        <v>106</v>
      </c>
      <c r="F128" s="9">
        <v>45986</v>
      </c>
      <c r="G128" s="8"/>
      <c r="H128" s="8"/>
      <c r="I128" s="8" t="s">
        <v>124</v>
      </c>
      <c r="J128" s="31" t="str">
        <f>IFERROR(VLOOKUP(MUESTREO_LABORAL_A2[[#This Row],[ACTIVIDAD]],'Lista Maestra'!$D$6:$F$190,3,0),"")</f>
        <v>FACTURACIÓN</v>
      </c>
      <c r="K128" s="31" t="str">
        <f>IFERROR(VLOOKUP(MUESTREO_LABORAL_A2[[#This Row],[ACTIVIDAD]],'Lista Maestra'!$D$6:$F$190,2,0),"")</f>
        <v>Revisión, actualización de base de facturación de hapag en consolidado de facturacion</v>
      </c>
      <c r="L128" s="8" t="s">
        <v>22</v>
      </c>
      <c r="M128" s="8"/>
      <c r="N128" s="10">
        <v>0.60763888888888884</v>
      </c>
      <c r="O128" s="10">
        <v>0.61388888888888893</v>
      </c>
      <c r="P128" s="7">
        <f>IF(MUESTREO_LABORAL_A2[[#This Row],[TIEMPO INICIO]]="","",(MUESTREO_LABORAL_A2[[#This Row],[TIEMPO FIN]]-MUESTREO_LABORAL_A2[[#This Row],[TIEMPO INICIO]])*24)</f>
        <v>0.15000000000000213</v>
      </c>
      <c r="Q128" s="12"/>
      <c r="R128" s="12"/>
    </row>
    <row r="129" spans="2:18" ht="55.2" customHeight="1" x14ac:dyDescent="0.3">
      <c r="B129" s="8" t="s">
        <v>17</v>
      </c>
      <c r="C129" s="8" t="s">
        <v>18</v>
      </c>
      <c r="D129" s="8" t="s">
        <v>105</v>
      </c>
      <c r="E129" s="8" t="s">
        <v>106</v>
      </c>
      <c r="F129" s="9">
        <v>45986</v>
      </c>
      <c r="G129" s="8"/>
      <c r="H129" s="8"/>
      <c r="I129" s="8" t="s">
        <v>114</v>
      </c>
      <c r="J129" s="31" t="str">
        <f>IFERROR(VLOOKUP(MUESTREO_LABORAL_A2[[#This Row],[ACTIVIDAD]],'Lista Maestra'!$D$6:$F$190,3,0),"")</f>
        <v>GESTIÓN DOCUMENTAL</v>
      </c>
      <c r="K129" s="31" t="str">
        <f>IFERROR(VLOOKUP(MUESTREO_LABORAL_A2[[#This Row],[ACTIVIDAD]],'Lista Maestra'!$D$6:$F$190,2,0),"")</f>
        <v>Elaboración de plantillas y guias en SAP de retiros de contenedores, se enviá la factura mediante correo adjuntando el soporte (statement) y en SAP se procede a reclasificar por semanas</v>
      </c>
      <c r="L129" s="8" t="s">
        <v>22</v>
      </c>
      <c r="M129" s="8"/>
      <c r="N129" s="10">
        <v>0.61388888888888893</v>
      </c>
      <c r="O129" s="10">
        <v>0.6381944444444444</v>
      </c>
      <c r="P129" s="7">
        <f>IF(MUESTREO_LABORAL_A2[[#This Row],[TIEMPO INICIO]]="","",(MUESTREO_LABORAL_A2[[#This Row],[TIEMPO FIN]]-MUESTREO_LABORAL_A2[[#This Row],[TIEMPO INICIO]])*24)</f>
        <v>0.58333333333333126</v>
      </c>
      <c r="Q129" s="12"/>
      <c r="R129" s="12"/>
    </row>
    <row r="130" spans="2:18" ht="41.4" customHeight="1" x14ac:dyDescent="0.3">
      <c r="B130" s="8" t="s">
        <v>17</v>
      </c>
      <c r="C130" s="8" t="s">
        <v>18</v>
      </c>
      <c r="D130" s="8" t="s">
        <v>105</v>
      </c>
      <c r="E130" s="8" t="s">
        <v>106</v>
      </c>
      <c r="F130" s="9">
        <v>45987</v>
      </c>
      <c r="G130" s="8"/>
      <c r="H130" s="8"/>
      <c r="I130" s="8" t="s">
        <v>120</v>
      </c>
      <c r="J130" s="31" t="str">
        <f>IFERROR(VLOOKUP(MUESTREO_LABORAL_A2[[#This Row],[ACTIVIDAD]],'Lista Maestra'!$D$6:$F$190,3,0),"")</f>
        <v>GESTIÓN DOCUMENTAL</v>
      </c>
      <c r="K130" s="31" t="str">
        <f>IFERROR(VLOOKUP(MUESTREO_LABORAL_A2[[#This Row],[ACTIVIDAD]],'Lista Maestra'!$D$6:$F$190,2,0),"")</f>
        <v>Elaboración de informe de facturacion de contenedores, emisión de notas de credito por roleos y costos TFE, refacturaciones semanales de contenedores de productores varios y MLC</v>
      </c>
      <c r="L130" s="8" t="s">
        <v>22</v>
      </c>
      <c r="M130" s="8"/>
      <c r="N130" s="10">
        <v>0.35416666666666669</v>
      </c>
      <c r="O130" s="10">
        <v>0.38750000000000001</v>
      </c>
      <c r="P130" s="7">
        <f>IF(MUESTREO_LABORAL_A2[[#This Row],[TIEMPO INICIO]]="","",(MUESTREO_LABORAL_A2[[#This Row],[TIEMPO FIN]]-MUESTREO_LABORAL_A2[[#This Row],[TIEMPO INICIO]])*24)</f>
        <v>0.79999999999999982</v>
      </c>
      <c r="Q130" s="12"/>
      <c r="R130" s="12"/>
    </row>
    <row r="131" spans="2:18" ht="27.6" customHeight="1" x14ac:dyDescent="0.3">
      <c r="B131" s="8" t="s">
        <v>17</v>
      </c>
      <c r="C131" s="8" t="s">
        <v>18</v>
      </c>
      <c r="D131" s="8" t="s">
        <v>105</v>
      </c>
      <c r="E131" s="8" t="s">
        <v>106</v>
      </c>
      <c r="F131" s="9">
        <v>45987</v>
      </c>
      <c r="G131" s="8"/>
      <c r="H131" s="8"/>
      <c r="I131" s="8" t="s">
        <v>113</v>
      </c>
      <c r="J131" s="31" t="str">
        <f>IFERROR(VLOOKUP(MUESTREO_LABORAL_A2[[#This Row],[ACTIVIDAD]],'Lista Maestra'!$D$6:$F$190,3,0),"")</f>
        <v>PLANIFICACIÓN</v>
      </c>
      <c r="K131"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131" s="8" t="s">
        <v>22</v>
      </c>
      <c r="M131" s="8"/>
      <c r="N131" s="10">
        <v>0.38750000000000001</v>
      </c>
      <c r="O131" s="10">
        <v>0.45347222222222222</v>
      </c>
      <c r="P131" s="7">
        <f>IF(MUESTREO_LABORAL_A2[[#This Row],[TIEMPO INICIO]]="","",(MUESTREO_LABORAL_A2[[#This Row],[TIEMPO FIN]]-MUESTREO_LABORAL_A2[[#This Row],[TIEMPO INICIO]])*24)</f>
        <v>1.583333333333333</v>
      </c>
      <c r="Q131" s="12"/>
      <c r="R131" s="12"/>
    </row>
    <row r="132" spans="2:18" ht="27.6" customHeight="1" x14ac:dyDescent="0.3">
      <c r="B132" s="8" t="s">
        <v>17</v>
      </c>
      <c r="C132" s="8" t="s">
        <v>18</v>
      </c>
      <c r="D132" s="8" t="s">
        <v>105</v>
      </c>
      <c r="E132" s="8" t="s">
        <v>106</v>
      </c>
      <c r="F132" s="9">
        <v>45987</v>
      </c>
      <c r="G132" s="8"/>
      <c r="H132" s="8"/>
      <c r="I132" s="8" t="s">
        <v>125</v>
      </c>
      <c r="J132" s="31" t="str">
        <f>IFERROR(VLOOKUP(MUESTREO_LABORAL_A2[[#This Row],[ACTIVIDAD]],'Lista Maestra'!$D$6:$F$190,3,0),"")</f>
        <v>FACTURACIÓN</v>
      </c>
      <c r="K132" s="31" t="str">
        <f>IFERROR(VLOOKUP(MUESTREO_LABORAL_A2[[#This Row],[ACTIVIDAD]],'Lista Maestra'!$D$6:$F$190,2,0),"")</f>
        <v>Revisión, solicitud de creación y corrección de guias y facturacion de contenedores del Reporte de viajes</v>
      </c>
      <c r="L132" s="8" t="s">
        <v>22</v>
      </c>
      <c r="M132" s="8"/>
      <c r="N132" s="10">
        <v>0.38958333333333328</v>
      </c>
      <c r="O132" s="10">
        <v>0.45347222222222222</v>
      </c>
      <c r="P132" s="7">
        <f>IF(MUESTREO_LABORAL_A2[[#This Row],[TIEMPO INICIO]]="","",(MUESTREO_LABORAL_A2[[#This Row],[TIEMPO FIN]]-MUESTREO_LABORAL_A2[[#This Row],[TIEMPO INICIO]])*24)</f>
        <v>1.5333333333333345</v>
      </c>
      <c r="Q132" s="12"/>
      <c r="R132" s="12"/>
    </row>
    <row r="133" spans="2:18" x14ac:dyDescent="0.3">
      <c r="B133" s="8" t="s">
        <v>17</v>
      </c>
      <c r="C133" s="8" t="s">
        <v>18</v>
      </c>
      <c r="D133" s="8" t="s">
        <v>105</v>
      </c>
      <c r="E133" s="8" t="s">
        <v>106</v>
      </c>
      <c r="F133" s="9">
        <v>45987</v>
      </c>
      <c r="G133" s="8"/>
      <c r="H133" s="8"/>
      <c r="I133" s="8" t="s">
        <v>123</v>
      </c>
      <c r="J133" s="31" t="str">
        <f>IFERROR(VLOOKUP(MUESTREO_LABORAL_A2[[#This Row],[ACTIVIDAD]],'Lista Maestra'!$D$6:$F$190,3,0),"")</f>
        <v>GESTIÓN DOCUMENTAL</v>
      </c>
      <c r="K133" s="31" t="str">
        <f>IFERROR(VLOOKUP(MUESTREO_LABORAL_A2[[#This Row],[ACTIVIDAD]],'Lista Maestra'!$D$6:$F$190,2,0),"")</f>
        <v>Revisión general de guias abiertas y devueltas</v>
      </c>
      <c r="L133" s="8" t="s">
        <v>22</v>
      </c>
      <c r="M133" s="8"/>
      <c r="N133" s="10">
        <v>0.41319444444444442</v>
      </c>
      <c r="O133" s="10">
        <v>0.45347222222222222</v>
      </c>
      <c r="P133" s="7">
        <f>IF(MUESTREO_LABORAL_A2[[#This Row],[TIEMPO INICIO]]="","",(MUESTREO_LABORAL_A2[[#This Row],[TIEMPO FIN]]-MUESTREO_LABORAL_A2[[#This Row],[TIEMPO INICIO]])*24)</f>
        <v>0.96666666666666723</v>
      </c>
      <c r="Q133" s="12"/>
      <c r="R133" s="12"/>
    </row>
    <row r="134" spans="2:18" ht="41.4" customHeight="1" x14ac:dyDescent="0.3">
      <c r="B134" s="8" t="s">
        <v>17</v>
      </c>
      <c r="C134" s="8" t="s">
        <v>18</v>
      </c>
      <c r="D134" s="8" t="s">
        <v>105</v>
      </c>
      <c r="E134" s="8" t="s">
        <v>106</v>
      </c>
      <c r="F134" s="9">
        <v>45987</v>
      </c>
      <c r="G134" s="8"/>
      <c r="H134" s="8"/>
      <c r="I134" s="8" t="s">
        <v>108</v>
      </c>
      <c r="J134" s="31" t="str">
        <f>IFERROR(VLOOKUP(MUESTREO_LABORAL_A2[[#This Row],[ACTIVIDAD]],'Lista Maestra'!$D$6:$F$190,3,0),"")</f>
        <v>GESTIÓN DOCUMENTAL</v>
      </c>
      <c r="K134" s="31" t="str">
        <f>IFERROR(VLOOKUP(MUESTREO_LABORAL_A2[[#This Row],[ACTIVIDAD]],'Lista Maestra'!$D$6:$F$190,2,0),"")</f>
        <v>Análisis y revisión del reporte de cobro de contenedores (Andrea Bowen) a productores directos y por medio de liquidación BANANO-aplicación de criterios</v>
      </c>
      <c r="L134" s="8" t="s">
        <v>22</v>
      </c>
      <c r="M134" s="8"/>
      <c r="N134" s="10">
        <v>0.45347222222222222</v>
      </c>
      <c r="O134" s="10">
        <v>0.52152777777777781</v>
      </c>
      <c r="P134" s="7">
        <f>IF(MUESTREO_LABORAL_A2[[#This Row],[TIEMPO INICIO]]="","",(MUESTREO_LABORAL_A2[[#This Row],[TIEMPO FIN]]-MUESTREO_LABORAL_A2[[#This Row],[TIEMPO INICIO]])*24)</f>
        <v>1.6333333333333342</v>
      </c>
      <c r="Q134" s="12"/>
      <c r="R134" s="12"/>
    </row>
    <row r="135" spans="2:18" ht="55.2" customHeight="1" x14ac:dyDescent="0.3">
      <c r="B135" s="8" t="s">
        <v>17</v>
      </c>
      <c r="C135" s="8" t="s">
        <v>18</v>
      </c>
      <c r="D135" s="8" t="s">
        <v>105</v>
      </c>
      <c r="E135" s="8" t="s">
        <v>106</v>
      </c>
      <c r="F135" s="9">
        <v>45987</v>
      </c>
      <c r="G135" s="8"/>
      <c r="H135" s="8"/>
      <c r="I135" s="8" t="s">
        <v>118</v>
      </c>
      <c r="J135" s="31" t="str">
        <f>IFERROR(VLOOKUP(MUESTREO_LABORAL_A2[[#This Row],[ACTIVIDAD]],'Lista Maestra'!$D$6:$F$190,3,0),"")</f>
        <v>GESTIÓN DOCUMENTAL</v>
      </c>
      <c r="K135" s="31" t="str">
        <f>IFERROR(VLOOKUP(MUESTREO_LABORAL_A2[[#This Row],[ACTIVIDAD]],'Lista Maestra'!$D$6:$F$190,2,0),"")</f>
        <v>Analisis y revision del reporte de movimiento de fruta y bajo cubierta junto con Ricardo Salinas para envio a (Andrea Bowen) y elaboración de guías de remisión, para proceder con la facturación</v>
      </c>
      <c r="L135" s="8" t="s">
        <v>22</v>
      </c>
      <c r="M135" s="8"/>
      <c r="N135" s="10">
        <v>0.45833333333333331</v>
      </c>
      <c r="O135" s="10">
        <v>0.52152777777777781</v>
      </c>
      <c r="P135" s="7">
        <f>IF(MUESTREO_LABORAL_A2[[#This Row],[TIEMPO INICIO]]="","",(MUESTREO_LABORAL_A2[[#This Row],[TIEMPO FIN]]-MUESTREO_LABORAL_A2[[#This Row],[TIEMPO INICIO]])*24)</f>
        <v>1.5166666666666679</v>
      </c>
      <c r="Q135" s="12"/>
      <c r="R135" s="12"/>
    </row>
    <row r="136" spans="2:18" ht="27.6" customHeight="1" x14ac:dyDescent="0.3">
      <c r="B136" s="8" t="s">
        <v>17</v>
      </c>
      <c r="C136" s="8" t="s">
        <v>18</v>
      </c>
      <c r="D136" s="8" t="s">
        <v>105</v>
      </c>
      <c r="E136" s="8" t="s">
        <v>106</v>
      </c>
      <c r="F136" s="9">
        <v>45987</v>
      </c>
      <c r="G136" s="8"/>
      <c r="H136" s="8"/>
      <c r="I136" s="8" t="s">
        <v>126</v>
      </c>
      <c r="J136" s="31" t="str">
        <f>IFERROR(VLOOKUP(MUESTREO_LABORAL_A2[[#This Row],[ACTIVIDAD]],'Lista Maestra'!$D$6:$F$190,3,0),"")</f>
        <v>GESTIÓN DOCUMENTAL</v>
      </c>
      <c r="K136" s="31" t="str">
        <f>IFERROR(VLOOKUP(MUESTREO_LABORAL_A2[[#This Row],[ACTIVIDAD]],'Lista Maestra'!$D$6:$F$190,2,0),"")</f>
        <v>Devoluciones a productores, generación de notas de crédito, entre varios casos</v>
      </c>
      <c r="L136" s="8" t="s">
        <v>22</v>
      </c>
      <c r="M136" s="8"/>
      <c r="N136" s="10">
        <v>0.52152777777777781</v>
      </c>
      <c r="O136" s="10">
        <v>0.56736111111111109</v>
      </c>
      <c r="P136" s="7">
        <f>IF(MUESTREO_LABORAL_A2[[#This Row],[TIEMPO INICIO]]="","",(MUESTREO_LABORAL_A2[[#This Row],[TIEMPO FIN]]-MUESTREO_LABORAL_A2[[#This Row],[TIEMPO INICIO]])*24)</f>
        <v>1.0999999999999988</v>
      </c>
      <c r="Q136" s="12"/>
      <c r="R136" s="12"/>
    </row>
    <row r="137" spans="2:18" ht="27.6" customHeight="1" x14ac:dyDescent="0.3">
      <c r="B137" s="8" t="s">
        <v>17</v>
      </c>
      <c r="C137" s="8" t="s">
        <v>18</v>
      </c>
      <c r="D137" s="8" t="s">
        <v>105</v>
      </c>
      <c r="E137" s="8" t="s">
        <v>106</v>
      </c>
      <c r="F137" s="9">
        <v>45987</v>
      </c>
      <c r="G137" s="8"/>
      <c r="H137" s="8"/>
      <c r="I137" s="8" t="s">
        <v>113</v>
      </c>
      <c r="J137" s="31" t="str">
        <f>IFERROR(VLOOKUP(MUESTREO_LABORAL_A2[[#This Row],[ACTIVIDAD]],'Lista Maestra'!$D$6:$F$190,3,0),"")</f>
        <v>PLANIFICACIÓN</v>
      </c>
      <c r="K137"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137" s="8" t="s">
        <v>22</v>
      </c>
      <c r="M137" s="8"/>
      <c r="N137" s="10">
        <v>0.56736111111111109</v>
      </c>
      <c r="O137" s="10">
        <v>0.58333333333333337</v>
      </c>
      <c r="P137" s="7">
        <f>IF(MUESTREO_LABORAL_A2[[#This Row],[TIEMPO INICIO]]="","",(MUESTREO_LABORAL_A2[[#This Row],[TIEMPO FIN]]-MUESTREO_LABORAL_A2[[#This Row],[TIEMPO INICIO]])*24)</f>
        <v>0.38333333333333464</v>
      </c>
      <c r="Q137" s="12"/>
      <c r="R137" s="12"/>
    </row>
    <row r="138" spans="2:18" ht="41.4" customHeight="1" x14ac:dyDescent="0.3">
      <c r="B138" s="8" t="s">
        <v>17</v>
      </c>
      <c r="C138" s="8" t="s">
        <v>18</v>
      </c>
      <c r="D138" s="8" t="s">
        <v>105</v>
      </c>
      <c r="E138" s="8" t="s">
        <v>106</v>
      </c>
      <c r="F138" s="9">
        <v>45987</v>
      </c>
      <c r="G138" s="8"/>
      <c r="H138" s="8"/>
      <c r="I138" s="8" t="s">
        <v>111</v>
      </c>
      <c r="J138" s="31" t="str">
        <f>IFERROR(VLOOKUP(MUESTREO_LABORAL_A2[[#This Row],[ACTIVIDAD]],'Lista Maestra'!$D$6:$F$190,3,0),"")</f>
        <v>PLANIFICACIÓN</v>
      </c>
      <c r="K138" s="31" t="str">
        <f>IFERROR(VLOOKUP(MUESTREO_LABORAL_A2[[#This Row],[ACTIVIDAD]],'Lista Maestra'!$D$6:$F$190,2,0),"")</f>
        <v>Elaborar y actualizar el consolidado semanal de viajes, integrando la información de los diferentes reportes de transporte.</v>
      </c>
      <c r="L138" s="8" t="s">
        <v>22</v>
      </c>
      <c r="M138" s="8"/>
      <c r="N138" s="10">
        <v>0.58333333333333337</v>
      </c>
      <c r="O138" s="10">
        <v>0.59027777777777779</v>
      </c>
      <c r="P138" s="7">
        <f>IF(MUESTREO_LABORAL_A2[[#This Row],[TIEMPO INICIO]]="","",(MUESTREO_LABORAL_A2[[#This Row],[TIEMPO FIN]]-MUESTREO_LABORAL_A2[[#This Row],[TIEMPO INICIO]])*24)</f>
        <v>0.16666666666666607</v>
      </c>
      <c r="Q138" s="12"/>
      <c r="R138" s="12"/>
    </row>
    <row r="139" spans="2:18" ht="55.2" customHeight="1" x14ac:dyDescent="0.3">
      <c r="B139" s="8" t="s">
        <v>17</v>
      </c>
      <c r="C139" s="8" t="s">
        <v>18</v>
      </c>
      <c r="D139" s="8" t="s">
        <v>105</v>
      </c>
      <c r="E139" s="8" t="s">
        <v>106</v>
      </c>
      <c r="F139" s="9">
        <v>45987</v>
      </c>
      <c r="G139" s="8"/>
      <c r="H139" s="8"/>
      <c r="I139" s="8" t="s">
        <v>127</v>
      </c>
      <c r="J139" s="31" t="str">
        <f>IFERROR(VLOOKUP(MUESTREO_LABORAL_A2[[#This Row],[ACTIVIDAD]],'Lista Maestra'!$D$6:$F$190,3,0),"")</f>
        <v>GESTIÓN DOCUMENTAL</v>
      </c>
      <c r="K139" s="31" t="str">
        <f>IFERROR(VLOOKUP(MUESTREO_LABORAL_A2[[#This Row],[ACTIVIDAD]],'Lista Maestra'!$D$6:$F$190,2,0),"")</f>
        <v>Verificar y conciliar la información del libro mayor con los reportes de viajes correspondientes a los diferentes servicios de transporte, asegurando la coherencia de los valores registrados y cuentas contables.</v>
      </c>
      <c r="L139" s="8" t="s">
        <v>22</v>
      </c>
      <c r="M139" s="8"/>
      <c r="N139" s="10">
        <v>0.58611111111111114</v>
      </c>
      <c r="O139" s="10">
        <v>0.59027777777777779</v>
      </c>
      <c r="P139" s="7">
        <f>IF(MUESTREO_LABORAL_A2[[#This Row],[TIEMPO INICIO]]="","",(MUESTREO_LABORAL_A2[[#This Row],[TIEMPO FIN]]-MUESTREO_LABORAL_A2[[#This Row],[TIEMPO INICIO]])*24)</f>
        <v>9.9999999999999645E-2</v>
      </c>
      <c r="Q139" s="12"/>
      <c r="R139" s="12"/>
    </row>
    <row r="140" spans="2:18" ht="41.4" customHeight="1" x14ac:dyDescent="0.3">
      <c r="B140" s="8" t="s">
        <v>17</v>
      </c>
      <c r="C140" s="8" t="s">
        <v>18</v>
      </c>
      <c r="D140" s="8" t="s">
        <v>105</v>
      </c>
      <c r="E140" s="8" t="s">
        <v>106</v>
      </c>
      <c r="F140" s="9">
        <v>45987</v>
      </c>
      <c r="G140" s="8"/>
      <c r="H140" s="8"/>
      <c r="I140" s="8" t="s">
        <v>108</v>
      </c>
      <c r="J140" s="31" t="str">
        <f>IFERROR(VLOOKUP(MUESTREO_LABORAL_A2[[#This Row],[ACTIVIDAD]],'Lista Maestra'!$D$6:$F$190,3,0),"")</f>
        <v>GESTIÓN DOCUMENTAL</v>
      </c>
      <c r="K140" s="31" t="str">
        <f>IFERROR(VLOOKUP(MUESTREO_LABORAL_A2[[#This Row],[ACTIVIDAD]],'Lista Maestra'!$D$6:$F$190,2,0),"")</f>
        <v>Análisis y revisión del reporte de cobro de contenedores (Andrea Bowen) a productores directos y por medio de liquidación BANANO-aplicación de criterios</v>
      </c>
      <c r="L140" s="8" t="s">
        <v>22</v>
      </c>
      <c r="M140" s="8"/>
      <c r="N140" s="10">
        <v>0.59027777777777779</v>
      </c>
      <c r="O140" s="10">
        <v>0.60486111111111107</v>
      </c>
      <c r="P140" s="7">
        <f>IF(MUESTREO_LABORAL_A2[[#This Row],[TIEMPO INICIO]]="","",(MUESTREO_LABORAL_A2[[#This Row],[TIEMPO FIN]]-MUESTREO_LABORAL_A2[[#This Row],[TIEMPO INICIO]])*24)</f>
        <v>0.34999999999999876</v>
      </c>
      <c r="Q140" s="12"/>
      <c r="R140" s="12"/>
    </row>
    <row r="141" spans="2:18" ht="41.4" customHeight="1" x14ac:dyDescent="0.3">
      <c r="B141" s="8" t="s">
        <v>17</v>
      </c>
      <c r="C141" s="8" t="s">
        <v>18</v>
      </c>
      <c r="D141" s="8" t="s">
        <v>105</v>
      </c>
      <c r="E141" s="8" t="s">
        <v>106</v>
      </c>
      <c r="F141" s="9">
        <v>45987</v>
      </c>
      <c r="G141" s="8"/>
      <c r="H141" s="8"/>
      <c r="I141" s="8" t="s">
        <v>111</v>
      </c>
      <c r="J141" s="31" t="str">
        <f>IFERROR(VLOOKUP(MUESTREO_LABORAL_A2[[#This Row],[ACTIVIDAD]],'Lista Maestra'!$D$6:$F$190,3,0),"")</f>
        <v>PLANIFICACIÓN</v>
      </c>
      <c r="K141" s="31" t="str">
        <f>IFERROR(VLOOKUP(MUESTREO_LABORAL_A2[[#This Row],[ACTIVIDAD]],'Lista Maestra'!$D$6:$F$190,2,0),"")</f>
        <v>Elaborar y actualizar el consolidado semanal de viajes, integrando la información de los diferentes reportes de transporte.</v>
      </c>
      <c r="L141" s="8" t="s">
        <v>22</v>
      </c>
      <c r="M141" s="8"/>
      <c r="N141" s="10">
        <v>0.60486111111111107</v>
      </c>
      <c r="O141" s="10">
        <v>0.60624999999999996</v>
      </c>
      <c r="P141" s="7">
        <f>IF(MUESTREO_LABORAL_A2[[#This Row],[TIEMPO INICIO]]="","",(MUESTREO_LABORAL_A2[[#This Row],[TIEMPO FIN]]-MUESTREO_LABORAL_A2[[#This Row],[TIEMPO INICIO]])*24)</f>
        <v>3.3333333333333215E-2</v>
      </c>
      <c r="Q141" s="12"/>
      <c r="R141" s="12"/>
    </row>
    <row r="142" spans="2:18" ht="55.2" customHeight="1" x14ac:dyDescent="0.3">
      <c r="B142" s="8" t="s">
        <v>17</v>
      </c>
      <c r="C142" s="8" t="s">
        <v>18</v>
      </c>
      <c r="D142" s="8" t="s">
        <v>105</v>
      </c>
      <c r="E142" s="8" t="s">
        <v>106</v>
      </c>
      <c r="F142" s="9">
        <v>45987</v>
      </c>
      <c r="G142" s="8"/>
      <c r="H142" s="8"/>
      <c r="I142" s="8" t="s">
        <v>127</v>
      </c>
      <c r="J142" s="31" t="str">
        <f>IFERROR(VLOOKUP(MUESTREO_LABORAL_A2[[#This Row],[ACTIVIDAD]],'Lista Maestra'!$D$6:$F$190,3,0),"")</f>
        <v>GESTIÓN DOCUMENTAL</v>
      </c>
      <c r="K142" s="31" t="str">
        <f>IFERROR(VLOOKUP(MUESTREO_LABORAL_A2[[#This Row],[ACTIVIDAD]],'Lista Maestra'!$D$6:$F$190,2,0),"")</f>
        <v>Verificar y conciliar la información del libro mayor con los reportes de viajes correspondientes a los diferentes servicios de transporte, asegurando la coherencia de los valores registrados y cuentas contables.</v>
      </c>
      <c r="L142" s="8" t="s">
        <v>22</v>
      </c>
      <c r="M142" s="8"/>
      <c r="N142" s="10">
        <v>0.60486111111111107</v>
      </c>
      <c r="O142" s="10">
        <v>0.60624999999999996</v>
      </c>
      <c r="P142" s="7">
        <f>IF(MUESTREO_LABORAL_A2[[#This Row],[TIEMPO INICIO]]="","",(MUESTREO_LABORAL_A2[[#This Row],[TIEMPO FIN]]-MUESTREO_LABORAL_A2[[#This Row],[TIEMPO INICIO]])*24)</f>
        <v>3.3333333333333215E-2</v>
      </c>
      <c r="Q142" s="12"/>
      <c r="R142" s="12"/>
    </row>
    <row r="143" spans="2:18" ht="41.4" customHeight="1" x14ac:dyDescent="0.3">
      <c r="B143" s="8" t="s">
        <v>17</v>
      </c>
      <c r="C143" s="8" t="s">
        <v>18</v>
      </c>
      <c r="D143" s="8" t="s">
        <v>105</v>
      </c>
      <c r="E143" s="8" t="s">
        <v>106</v>
      </c>
      <c r="F143" s="9">
        <v>45987</v>
      </c>
      <c r="G143" s="9"/>
      <c r="H143" s="8"/>
      <c r="I143" s="8" t="s">
        <v>128</v>
      </c>
      <c r="J143" s="31" t="str">
        <f>IFERROR(VLOOKUP(MUESTREO_LABORAL_A2[[#This Row],[ACTIVIDAD]],'Lista Maestra'!$D$6:$F$190,3,0),"")</f>
        <v>GESTIÓN DOCUMENTAL</v>
      </c>
      <c r="K143" s="31" t="str">
        <f>IFERROR(VLOOKUP(MUESTREO_LABORAL_A2[[#This Row],[ACTIVIDAD]],'Lista Maestra'!$D$6:$F$190,2,0),"")</f>
        <v>Revisión y control de reporte de cobro de materiales junto con Ricardo Salinas para envio a (Andrea Bowen) y elaboración de guías de remisión, para proceder con la facturación</v>
      </c>
      <c r="L143" s="8" t="s">
        <v>22</v>
      </c>
      <c r="M143" s="8"/>
      <c r="N143" s="10">
        <v>0.60624999999999996</v>
      </c>
      <c r="O143" s="10">
        <v>0.60902777777777772</v>
      </c>
      <c r="P143" s="7">
        <f>IF(MUESTREO_LABORAL_A2[[#This Row],[TIEMPO INICIO]]="","",(MUESTREO_LABORAL_A2[[#This Row],[TIEMPO FIN]]-MUESTREO_LABORAL_A2[[#This Row],[TIEMPO INICIO]])*24)</f>
        <v>6.666666666666643E-2</v>
      </c>
      <c r="Q143" s="12"/>
      <c r="R143" s="12"/>
    </row>
    <row r="144" spans="2:18" ht="41.4" customHeight="1" x14ac:dyDescent="0.3">
      <c r="B144" s="8" t="s">
        <v>17</v>
      </c>
      <c r="C144" s="8" t="s">
        <v>18</v>
      </c>
      <c r="D144" s="8" t="s">
        <v>105</v>
      </c>
      <c r="E144" s="8" t="s">
        <v>106</v>
      </c>
      <c r="F144" s="9">
        <v>45987</v>
      </c>
      <c r="G144" s="9"/>
      <c r="H144" s="8"/>
      <c r="I144" s="8" t="s">
        <v>111</v>
      </c>
      <c r="J144" s="31" t="str">
        <f>IFERROR(VLOOKUP(MUESTREO_LABORAL_A2[[#This Row],[ACTIVIDAD]],'Lista Maestra'!$D$6:$F$190,3,0),"")</f>
        <v>PLANIFICACIÓN</v>
      </c>
      <c r="K144" s="31" t="str">
        <f>IFERROR(VLOOKUP(MUESTREO_LABORAL_A2[[#This Row],[ACTIVIDAD]],'Lista Maestra'!$D$6:$F$190,2,0),"")</f>
        <v>Elaborar y actualizar el consolidado semanal de viajes, integrando la información de los diferentes reportes de transporte.</v>
      </c>
      <c r="L144" s="8" t="s">
        <v>22</v>
      </c>
      <c r="M144" s="8"/>
      <c r="N144" s="10">
        <v>0.60902777777777772</v>
      </c>
      <c r="O144" s="10">
        <v>0.63541666666666663</v>
      </c>
      <c r="P144" s="7">
        <f>IF(MUESTREO_LABORAL_A2[[#This Row],[TIEMPO INICIO]]="","",(MUESTREO_LABORAL_A2[[#This Row],[TIEMPO FIN]]-MUESTREO_LABORAL_A2[[#This Row],[TIEMPO INICIO]])*24)</f>
        <v>0.63333333333333375</v>
      </c>
      <c r="Q144" s="12"/>
      <c r="R144" s="12"/>
    </row>
    <row r="145" spans="2:18" ht="55.2" customHeight="1" x14ac:dyDescent="0.3">
      <c r="B145" s="8" t="s">
        <v>17</v>
      </c>
      <c r="C145" s="8" t="s">
        <v>18</v>
      </c>
      <c r="D145" s="8" t="s">
        <v>105</v>
      </c>
      <c r="E145" s="8" t="s">
        <v>106</v>
      </c>
      <c r="F145" s="9">
        <v>45987</v>
      </c>
      <c r="G145" s="9"/>
      <c r="H145" s="8"/>
      <c r="I145" s="8" t="s">
        <v>127</v>
      </c>
      <c r="J145" s="31" t="str">
        <f>IFERROR(VLOOKUP(MUESTREO_LABORAL_A2[[#This Row],[ACTIVIDAD]],'Lista Maestra'!$D$6:$F$190,3,0),"")</f>
        <v>GESTIÓN DOCUMENTAL</v>
      </c>
      <c r="K145" s="31" t="str">
        <f>IFERROR(VLOOKUP(MUESTREO_LABORAL_A2[[#This Row],[ACTIVIDAD]],'Lista Maestra'!$D$6:$F$190,2,0),"")</f>
        <v>Verificar y conciliar la información del libro mayor con los reportes de viajes correspondientes a los diferentes servicios de transporte, asegurando la coherencia de los valores registrados y cuentas contables.</v>
      </c>
      <c r="L145" s="8" t="s">
        <v>22</v>
      </c>
      <c r="M145" s="8"/>
      <c r="N145" s="10">
        <v>0.60902777777777772</v>
      </c>
      <c r="O145" s="10">
        <v>0.63541666666666663</v>
      </c>
      <c r="P145" s="7">
        <f>IF(MUESTREO_LABORAL_A2[[#This Row],[TIEMPO INICIO]]="","",(MUESTREO_LABORAL_A2[[#This Row],[TIEMPO FIN]]-MUESTREO_LABORAL_A2[[#This Row],[TIEMPO INICIO]])*24)</f>
        <v>0.63333333333333375</v>
      </c>
      <c r="Q145" s="12"/>
      <c r="R145" s="12"/>
    </row>
    <row r="146" spans="2:18" ht="41.4" customHeight="1" x14ac:dyDescent="0.3">
      <c r="B146" s="8" t="s">
        <v>17</v>
      </c>
      <c r="C146" s="8" t="s">
        <v>18</v>
      </c>
      <c r="D146" s="8" t="s">
        <v>105</v>
      </c>
      <c r="E146" s="8" t="s">
        <v>106</v>
      </c>
      <c r="F146" s="9">
        <v>45988</v>
      </c>
      <c r="G146" s="9"/>
      <c r="H146" s="8"/>
      <c r="I146" s="8" t="s">
        <v>128</v>
      </c>
      <c r="J146" s="31" t="str">
        <f>IFERROR(VLOOKUP(MUESTREO_LABORAL_A2[[#This Row],[ACTIVIDAD]],'Lista Maestra'!$D$6:$F$190,3,0),"")</f>
        <v>GESTIÓN DOCUMENTAL</v>
      </c>
      <c r="K146" s="31" t="str">
        <f>IFERROR(VLOOKUP(MUESTREO_LABORAL_A2[[#This Row],[ACTIVIDAD]],'Lista Maestra'!$D$6:$F$190,2,0),"")</f>
        <v>Revisión y control de reporte de cobro de materiales junto con Ricardo Salinas para envio a (Andrea Bowen) y elaboración de guías de remisión, para proceder con la facturación</v>
      </c>
      <c r="L146" s="8" t="s">
        <v>22</v>
      </c>
      <c r="M146" s="8"/>
      <c r="N146" s="10">
        <v>0.35416666666666669</v>
      </c>
      <c r="O146" s="10">
        <v>0.37986111111111109</v>
      </c>
      <c r="P146" s="7">
        <f>IF(MUESTREO_LABORAL_A2[[#This Row],[TIEMPO INICIO]]="","",(MUESTREO_LABORAL_A2[[#This Row],[TIEMPO FIN]]-MUESTREO_LABORAL_A2[[#This Row],[TIEMPO INICIO]])*24)</f>
        <v>0.61666666666666581</v>
      </c>
      <c r="Q146" s="12"/>
      <c r="R146" s="12"/>
    </row>
    <row r="147" spans="2:18" ht="55.2" customHeight="1" x14ac:dyDescent="0.3">
      <c r="B147" s="8" t="s">
        <v>17</v>
      </c>
      <c r="C147" s="8" t="s">
        <v>18</v>
      </c>
      <c r="D147" s="8" t="s">
        <v>105</v>
      </c>
      <c r="E147" s="8" t="s">
        <v>106</v>
      </c>
      <c r="F147" s="9">
        <v>45988</v>
      </c>
      <c r="G147" s="9"/>
      <c r="H147" s="8"/>
      <c r="I147" s="8" t="s">
        <v>118</v>
      </c>
      <c r="J147" s="31" t="str">
        <f>IFERROR(VLOOKUP(MUESTREO_LABORAL_A2[[#This Row],[ACTIVIDAD]],'Lista Maestra'!$D$6:$F$190,3,0),"")</f>
        <v>GESTIÓN DOCUMENTAL</v>
      </c>
      <c r="K147" s="31" t="str">
        <f>IFERROR(VLOOKUP(MUESTREO_LABORAL_A2[[#This Row],[ACTIVIDAD]],'Lista Maestra'!$D$6:$F$190,2,0),"")</f>
        <v>Analisis y revision del reporte de movimiento de fruta y bajo cubierta junto con Ricardo Salinas para envio a (Andrea Bowen) y elaboración de guías de remisión, para proceder con la facturación</v>
      </c>
      <c r="L147" s="8" t="s">
        <v>22</v>
      </c>
      <c r="M147" s="8"/>
      <c r="N147" s="10">
        <v>0.37986111111111109</v>
      </c>
      <c r="O147" s="10">
        <v>0.43263888888888891</v>
      </c>
      <c r="P147" s="7">
        <f>IF(MUESTREO_LABORAL_A2[[#This Row],[TIEMPO INICIO]]="","",(MUESTREO_LABORAL_A2[[#This Row],[TIEMPO FIN]]-MUESTREO_LABORAL_A2[[#This Row],[TIEMPO INICIO]])*24)</f>
        <v>1.2666666666666675</v>
      </c>
      <c r="Q147" s="12"/>
      <c r="R147" s="12"/>
    </row>
    <row r="148" spans="2:18" ht="41.4" customHeight="1" x14ac:dyDescent="0.3">
      <c r="B148" s="8" t="s">
        <v>17</v>
      </c>
      <c r="C148" s="8" t="s">
        <v>18</v>
      </c>
      <c r="D148" s="8" t="s">
        <v>105</v>
      </c>
      <c r="E148" s="8" t="s">
        <v>106</v>
      </c>
      <c r="F148" s="9">
        <v>45988</v>
      </c>
      <c r="G148" s="9"/>
      <c r="H148" s="8"/>
      <c r="I148" s="8" t="s">
        <v>108</v>
      </c>
      <c r="J148" s="31" t="str">
        <f>IFERROR(VLOOKUP(MUESTREO_LABORAL_A2[[#This Row],[ACTIVIDAD]],'Lista Maestra'!$D$6:$F$190,3,0),"")</f>
        <v>GESTIÓN DOCUMENTAL</v>
      </c>
      <c r="K148" s="31" t="str">
        <f>IFERROR(VLOOKUP(MUESTREO_LABORAL_A2[[#This Row],[ACTIVIDAD]],'Lista Maestra'!$D$6:$F$190,2,0),"")</f>
        <v>Análisis y revisión del reporte de cobro de contenedores (Andrea Bowen) a productores directos y por medio de liquidación BANANO-aplicación de criterios</v>
      </c>
      <c r="L148" s="8" t="s">
        <v>22</v>
      </c>
      <c r="M148" s="8"/>
      <c r="N148" s="10">
        <v>0.37986111111111109</v>
      </c>
      <c r="O148" s="10">
        <v>0.43263888888888891</v>
      </c>
      <c r="P148" s="7">
        <f>IF(MUESTREO_LABORAL_A2[[#This Row],[TIEMPO INICIO]]="","",(MUESTREO_LABORAL_A2[[#This Row],[TIEMPO FIN]]-MUESTREO_LABORAL_A2[[#This Row],[TIEMPO INICIO]])*24)</f>
        <v>1.2666666666666675</v>
      </c>
      <c r="Q148" s="12"/>
      <c r="R148" s="12"/>
    </row>
    <row r="149" spans="2:18" ht="41.4" customHeight="1" x14ac:dyDescent="0.3">
      <c r="B149" s="8" t="s">
        <v>17</v>
      </c>
      <c r="C149" s="8" t="s">
        <v>18</v>
      </c>
      <c r="D149" s="8" t="s">
        <v>105</v>
      </c>
      <c r="E149" s="8" t="s">
        <v>106</v>
      </c>
      <c r="F149" s="9">
        <v>45988</v>
      </c>
      <c r="G149" s="9"/>
      <c r="H149" s="8"/>
      <c r="I149" s="8" t="s">
        <v>121</v>
      </c>
      <c r="J149" s="31" t="str">
        <f>IFERROR(VLOOKUP(MUESTREO_LABORAL_A2[[#This Row],[ACTIVIDAD]],'Lista Maestra'!$D$6:$F$190,3,0),"")</f>
        <v>LIQUIDACIÓN</v>
      </c>
      <c r="K149" s="31" t="str">
        <f>IFERROR(VLOOKUP(MUESTREO_LABORAL_A2[[#This Row],[ACTIVIDAD]],'Lista Maestra'!$D$6:$F$190,2,0),"")</f>
        <v>Realizar y enviar de detalle de valores semanales a los que aplica, facturación de Grupo Noboa en SAP, envío de facturas por correo electronico</v>
      </c>
      <c r="L149" s="8" t="s">
        <v>22</v>
      </c>
      <c r="M149" s="8"/>
      <c r="N149" s="10">
        <v>0.43263888888888891</v>
      </c>
      <c r="O149" s="10">
        <v>0.44097222222222221</v>
      </c>
      <c r="P149" s="7">
        <f>IF(MUESTREO_LABORAL_A2[[#This Row],[TIEMPO INICIO]]="","",(MUESTREO_LABORAL_A2[[#This Row],[TIEMPO FIN]]-MUESTREO_LABORAL_A2[[#This Row],[TIEMPO INICIO]])*24)</f>
        <v>0.19999999999999929</v>
      </c>
      <c r="Q149" s="12"/>
      <c r="R149" s="12"/>
    </row>
    <row r="150" spans="2:18" ht="41.4" customHeight="1" x14ac:dyDescent="0.3">
      <c r="B150" s="8" t="s">
        <v>17</v>
      </c>
      <c r="C150" s="8" t="s">
        <v>18</v>
      </c>
      <c r="D150" s="8" t="s">
        <v>105</v>
      </c>
      <c r="E150" s="8" t="s">
        <v>106</v>
      </c>
      <c r="F150" s="9">
        <v>45988</v>
      </c>
      <c r="G150" s="9"/>
      <c r="H150" s="8"/>
      <c r="I150" s="8" t="s">
        <v>108</v>
      </c>
      <c r="J150" s="31" t="str">
        <f>IFERROR(VLOOKUP(MUESTREO_LABORAL_A2[[#This Row],[ACTIVIDAD]],'Lista Maestra'!$D$6:$F$190,3,0),"")</f>
        <v>GESTIÓN DOCUMENTAL</v>
      </c>
      <c r="K150" s="31" t="str">
        <f>IFERROR(VLOOKUP(MUESTREO_LABORAL_A2[[#This Row],[ACTIVIDAD]],'Lista Maestra'!$D$6:$F$190,2,0),"")</f>
        <v>Análisis y revisión del reporte de cobro de contenedores (Andrea Bowen) a productores directos y por medio de liquidación BANANO-aplicación de criterios</v>
      </c>
      <c r="L150" s="8" t="s">
        <v>22</v>
      </c>
      <c r="M150" s="8"/>
      <c r="N150" s="10">
        <v>0.44097222222222221</v>
      </c>
      <c r="O150" s="10">
        <v>0.50486111111111109</v>
      </c>
      <c r="P150" s="7">
        <f>IF(MUESTREO_LABORAL_A2[[#This Row],[TIEMPO INICIO]]="","",(MUESTREO_LABORAL_A2[[#This Row],[TIEMPO FIN]]-MUESTREO_LABORAL_A2[[#This Row],[TIEMPO INICIO]])*24)</f>
        <v>1.5333333333333332</v>
      </c>
      <c r="Q150" s="12"/>
      <c r="R150" s="12"/>
    </row>
    <row r="151" spans="2:18" ht="55.2" customHeight="1" x14ac:dyDescent="0.3">
      <c r="B151" s="8" t="s">
        <v>17</v>
      </c>
      <c r="C151" s="8" t="s">
        <v>18</v>
      </c>
      <c r="D151" s="8" t="s">
        <v>105</v>
      </c>
      <c r="E151" s="8" t="s">
        <v>106</v>
      </c>
      <c r="F151" s="9">
        <v>45988</v>
      </c>
      <c r="G151" s="9"/>
      <c r="H151" s="8"/>
      <c r="I151" s="8" t="s">
        <v>118</v>
      </c>
      <c r="J151" s="31" t="str">
        <f>IFERROR(VLOOKUP(MUESTREO_LABORAL_A2[[#This Row],[ACTIVIDAD]],'Lista Maestra'!$D$6:$F$190,3,0),"")</f>
        <v>GESTIÓN DOCUMENTAL</v>
      </c>
      <c r="K151" s="31" t="str">
        <f>IFERROR(VLOOKUP(MUESTREO_LABORAL_A2[[#This Row],[ACTIVIDAD]],'Lista Maestra'!$D$6:$F$190,2,0),"")</f>
        <v>Analisis y revision del reporte de movimiento de fruta y bajo cubierta junto con Ricardo Salinas para envio a (Andrea Bowen) y elaboración de guías de remisión, para proceder con la facturación</v>
      </c>
      <c r="L151" s="8" t="s">
        <v>22</v>
      </c>
      <c r="M151" s="8"/>
      <c r="N151" s="10">
        <v>0.50486111111111109</v>
      </c>
      <c r="O151" s="10">
        <v>0.53680555555555554</v>
      </c>
      <c r="P151" s="7">
        <f>IF(MUESTREO_LABORAL_A2[[#This Row],[TIEMPO INICIO]]="","",(MUESTREO_LABORAL_A2[[#This Row],[TIEMPO FIN]]-MUESTREO_LABORAL_A2[[#This Row],[TIEMPO INICIO]])*24)</f>
        <v>0.76666666666666661</v>
      </c>
      <c r="Q151" s="12"/>
      <c r="R151" s="12"/>
    </row>
    <row r="152" spans="2:18" ht="27.6" customHeight="1" x14ac:dyDescent="0.3">
      <c r="B152" s="8" t="s">
        <v>17</v>
      </c>
      <c r="C152" s="8" t="s">
        <v>18</v>
      </c>
      <c r="D152" s="8" t="s">
        <v>105</v>
      </c>
      <c r="E152" s="8" t="s">
        <v>106</v>
      </c>
      <c r="F152" s="9">
        <v>45988</v>
      </c>
      <c r="G152" s="9"/>
      <c r="H152" s="8"/>
      <c r="I152" s="8" t="s">
        <v>129</v>
      </c>
      <c r="J152" s="31" t="str">
        <f>IFERROR(VLOOKUP(MUESTREO_LABORAL_A2[[#This Row],[ACTIVIDAD]],'Lista Maestra'!$D$6:$F$190,3,0),"")</f>
        <v>FACTURACIÓN</v>
      </c>
      <c r="K152" s="31" t="str">
        <f>IFERROR(VLOOKUP(MUESTREO_LABORAL_A2[[#This Row],[ACTIVIDAD]],'Lista Maestra'!$D$6:$F$190,2,0),"")</f>
        <v>Emisión de notas de crédito y refacturaciones por atmosfera y COI</v>
      </c>
      <c r="L152" s="8" t="s">
        <v>22</v>
      </c>
      <c r="M152" s="8"/>
      <c r="N152" s="10">
        <v>0.53680555555555554</v>
      </c>
      <c r="O152" s="10">
        <v>0.5395833333333333</v>
      </c>
      <c r="P152" s="7">
        <f>IF(MUESTREO_LABORAL_A2[[#This Row],[TIEMPO INICIO]]="","",(MUESTREO_LABORAL_A2[[#This Row],[TIEMPO FIN]]-MUESTREO_LABORAL_A2[[#This Row],[TIEMPO INICIO]])*24)</f>
        <v>6.666666666666643E-2</v>
      </c>
      <c r="Q152" s="12"/>
      <c r="R152" s="12"/>
    </row>
    <row r="153" spans="2:18" ht="27.6" customHeight="1" x14ac:dyDescent="0.3">
      <c r="B153" s="8" t="s">
        <v>17</v>
      </c>
      <c r="C153" s="8" t="s">
        <v>18</v>
      </c>
      <c r="D153" s="8" t="s">
        <v>105</v>
      </c>
      <c r="E153" s="8" t="s">
        <v>106</v>
      </c>
      <c r="F153" s="9">
        <v>45988</v>
      </c>
      <c r="G153" s="9"/>
      <c r="H153" s="8"/>
      <c r="I153" s="8" t="s">
        <v>113</v>
      </c>
      <c r="J153" s="31" t="str">
        <f>IFERROR(VLOOKUP(MUESTREO_LABORAL_A2[[#This Row],[ACTIVIDAD]],'Lista Maestra'!$D$6:$F$190,3,0),"")</f>
        <v>PLANIFICACIÓN</v>
      </c>
      <c r="K153"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153" s="8" t="s">
        <v>22</v>
      </c>
      <c r="M153" s="8"/>
      <c r="N153" s="10">
        <v>0.53819444444444442</v>
      </c>
      <c r="O153" s="10">
        <v>0.5395833333333333</v>
      </c>
      <c r="P153" s="7">
        <f>IF(MUESTREO_LABORAL_A2[[#This Row],[TIEMPO INICIO]]="","",(MUESTREO_LABORAL_A2[[#This Row],[TIEMPO FIN]]-MUESTREO_LABORAL_A2[[#This Row],[TIEMPO INICIO]])*24)</f>
        <v>3.3333333333333215E-2</v>
      </c>
      <c r="Q153" s="12"/>
      <c r="R153" s="12"/>
    </row>
    <row r="154" spans="2:18" ht="41.4" customHeight="1" x14ac:dyDescent="0.3">
      <c r="B154" s="8" t="s">
        <v>17</v>
      </c>
      <c r="C154" s="8" t="s">
        <v>18</v>
      </c>
      <c r="D154" s="8" t="s">
        <v>105</v>
      </c>
      <c r="E154" s="8" t="s">
        <v>106</v>
      </c>
      <c r="F154" s="9">
        <v>45988</v>
      </c>
      <c r="G154" s="9"/>
      <c r="H154" s="8"/>
      <c r="I154" s="8" t="s">
        <v>121</v>
      </c>
      <c r="J154" s="31" t="str">
        <f>IFERROR(VLOOKUP(MUESTREO_LABORAL_A2[[#This Row],[ACTIVIDAD]],'Lista Maestra'!$D$6:$F$190,3,0),"")</f>
        <v>LIQUIDACIÓN</v>
      </c>
      <c r="K154" s="31" t="str">
        <f>IFERROR(VLOOKUP(MUESTREO_LABORAL_A2[[#This Row],[ACTIVIDAD]],'Lista Maestra'!$D$6:$F$190,2,0),"")</f>
        <v>Realizar y enviar de detalle de valores semanales a los que aplica, facturación de Grupo Noboa en SAP, envío de facturas por correo electronico</v>
      </c>
      <c r="L154" s="8" t="s">
        <v>22</v>
      </c>
      <c r="M154" s="8"/>
      <c r="N154" s="10">
        <v>0.5395833333333333</v>
      </c>
      <c r="O154" s="10">
        <v>0.5444444444444444</v>
      </c>
      <c r="P154" s="7">
        <f>IF(MUESTREO_LABORAL_A2[[#This Row],[TIEMPO INICIO]]="","",(MUESTREO_LABORAL_A2[[#This Row],[TIEMPO FIN]]-MUESTREO_LABORAL_A2[[#This Row],[TIEMPO INICIO]])*24)</f>
        <v>0.11666666666666625</v>
      </c>
      <c r="Q154" s="12"/>
      <c r="R154" s="12"/>
    </row>
    <row r="155" spans="2:18" ht="27.6" customHeight="1" x14ac:dyDescent="0.3">
      <c r="B155" s="8" t="s">
        <v>17</v>
      </c>
      <c r="C155" s="8" t="s">
        <v>18</v>
      </c>
      <c r="D155" s="8" t="s">
        <v>105</v>
      </c>
      <c r="E155" s="8" t="s">
        <v>106</v>
      </c>
      <c r="F155" s="9">
        <v>45988</v>
      </c>
      <c r="G155" s="9"/>
      <c r="H155" s="8"/>
      <c r="I155" s="8" t="s">
        <v>129</v>
      </c>
      <c r="J155" s="31" t="str">
        <f>IFERROR(VLOOKUP(MUESTREO_LABORAL_A2[[#This Row],[ACTIVIDAD]],'Lista Maestra'!$D$6:$F$190,3,0),"")</f>
        <v>FACTURACIÓN</v>
      </c>
      <c r="K155" s="31" t="str">
        <f>IFERROR(VLOOKUP(MUESTREO_LABORAL_A2[[#This Row],[ACTIVIDAD]],'Lista Maestra'!$D$6:$F$190,2,0),"")</f>
        <v>Emisión de notas de crédito y refacturaciones por atmosfera y COI</v>
      </c>
      <c r="L155" s="8" t="s">
        <v>22</v>
      </c>
      <c r="M155" s="8"/>
      <c r="N155" s="10">
        <v>0.5444444444444444</v>
      </c>
      <c r="O155" s="10">
        <v>0.55625000000000002</v>
      </c>
      <c r="P155" s="7">
        <f>IF(MUESTREO_LABORAL_A2[[#This Row],[TIEMPO INICIO]]="","",(MUESTREO_LABORAL_A2[[#This Row],[TIEMPO FIN]]-MUESTREO_LABORAL_A2[[#This Row],[TIEMPO INICIO]])*24)</f>
        <v>0.28333333333333499</v>
      </c>
      <c r="Q155" s="12"/>
      <c r="R155" s="12"/>
    </row>
    <row r="156" spans="2:18" ht="41.4" customHeight="1" x14ac:dyDescent="0.3">
      <c r="B156" s="8" t="s">
        <v>17</v>
      </c>
      <c r="C156" s="8" t="s">
        <v>18</v>
      </c>
      <c r="D156" s="8" t="s">
        <v>105</v>
      </c>
      <c r="E156" s="8" t="s">
        <v>106</v>
      </c>
      <c r="F156" s="9">
        <v>45988</v>
      </c>
      <c r="G156" s="9"/>
      <c r="H156" s="8"/>
      <c r="I156" s="8" t="s">
        <v>130</v>
      </c>
      <c r="J156" s="31" t="str">
        <f>IFERROR(VLOOKUP(MUESTREO_LABORAL_A2[[#This Row],[ACTIVIDAD]],'Lista Maestra'!$D$6:$F$190,3,0),"")</f>
        <v>FACTURACIÓN</v>
      </c>
      <c r="K156" s="31" t="str">
        <f>IFERROR(VLOOKUP(MUESTREO_LABORAL_A2[[#This Row],[ACTIVIDAD]],'Lista Maestra'!$D$6:$F$190,2,0),"")</f>
        <v>Refacturaciones varias por temas de productores en último momento (Emisiones de notas de creditos y refacturaciones a multinational)</v>
      </c>
      <c r="L156" s="8" t="s">
        <v>22</v>
      </c>
      <c r="M156" s="8"/>
      <c r="N156" s="10">
        <v>0.55625000000000002</v>
      </c>
      <c r="O156" s="10">
        <v>0.59444444444444444</v>
      </c>
      <c r="P156" s="7">
        <f>IF(MUESTREO_LABORAL_A2[[#This Row],[TIEMPO INICIO]]="","",(MUESTREO_LABORAL_A2[[#This Row],[TIEMPO FIN]]-MUESTREO_LABORAL_A2[[#This Row],[TIEMPO INICIO]])*24)</f>
        <v>0.91666666666666607</v>
      </c>
      <c r="Q156" s="12"/>
      <c r="R156" s="12"/>
    </row>
    <row r="157" spans="2:18" ht="41.4" customHeight="1" x14ac:dyDescent="0.3">
      <c r="B157" s="8" t="s">
        <v>17</v>
      </c>
      <c r="C157" s="8" t="s">
        <v>18</v>
      </c>
      <c r="D157" s="8" t="s">
        <v>105</v>
      </c>
      <c r="E157" s="8" t="s">
        <v>106</v>
      </c>
      <c r="F157" s="9">
        <v>45988</v>
      </c>
      <c r="G157" s="9"/>
      <c r="H157" s="8"/>
      <c r="I157" s="8" t="s">
        <v>111</v>
      </c>
      <c r="J157" s="31" t="str">
        <f>IFERROR(VLOOKUP(MUESTREO_LABORAL_A2[[#This Row],[ACTIVIDAD]],'Lista Maestra'!$D$6:$F$190,3,0),"")</f>
        <v>PLANIFICACIÓN</v>
      </c>
      <c r="K157" s="31" t="str">
        <f>IFERROR(VLOOKUP(MUESTREO_LABORAL_A2[[#This Row],[ACTIVIDAD]],'Lista Maestra'!$D$6:$F$190,2,0),"")</f>
        <v>Elaborar y actualizar el consolidado semanal de viajes, integrando la información de los diferentes reportes de transporte.</v>
      </c>
      <c r="L157" s="8" t="s">
        <v>22</v>
      </c>
      <c r="M157" s="8"/>
      <c r="N157" s="10">
        <v>0.59444444444444444</v>
      </c>
      <c r="O157" s="10">
        <v>0.59513888888888888</v>
      </c>
      <c r="P157" s="7">
        <f>IF(MUESTREO_LABORAL_A2[[#This Row],[TIEMPO INICIO]]="","",(MUESTREO_LABORAL_A2[[#This Row],[TIEMPO FIN]]-MUESTREO_LABORAL_A2[[#This Row],[TIEMPO INICIO]])*24)</f>
        <v>1.6666666666666607E-2</v>
      </c>
      <c r="Q157" s="12"/>
      <c r="R157" s="12"/>
    </row>
    <row r="158" spans="2:18" x14ac:dyDescent="0.3">
      <c r="B158" s="8" t="s">
        <v>17</v>
      </c>
      <c r="C158" s="8" t="s">
        <v>18</v>
      </c>
      <c r="D158" s="8" t="s">
        <v>105</v>
      </c>
      <c r="E158" s="8" t="s">
        <v>106</v>
      </c>
      <c r="F158" s="9">
        <v>45988</v>
      </c>
      <c r="G158" s="9"/>
      <c r="H158" s="8"/>
      <c r="I158" s="8" t="s">
        <v>26</v>
      </c>
      <c r="J158" s="31" t="str">
        <f>IFERROR(VLOOKUP(MUESTREO_LABORAL_A2[[#This Row],[ACTIVIDAD]],'Lista Maestra'!$D$6:$F$190,3,0),"")</f>
        <v>NECESIDADES BIOLÓGICAS</v>
      </c>
      <c r="K158" s="31" t="str">
        <f>IFERROR(VLOOKUP(MUESTREO_LABORAL_A2[[#This Row],[ACTIVIDAD]],'Lista Maestra'!$D$6:$F$190,2,0),"")</f>
        <v>PROCESO DE MICCIÓN Y AGREGADOS</v>
      </c>
      <c r="L158" s="8" t="s">
        <v>26</v>
      </c>
      <c r="M158" s="8"/>
      <c r="N158" s="10">
        <v>0.59513888888888888</v>
      </c>
      <c r="O158" s="10">
        <v>0.59930555555555554</v>
      </c>
      <c r="P158" s="7">
        <f>IF(MUESTREO_LABORAL_A2[[#This Row],[TIEMPO INICIO]]="","",(MUESTREO_LABORAL_A2[[#This Row],[TIEMPO FIN]]-MUESTREO_LABORAL_A2[[#This Row],[TIEMPO INICIO]])*24)</f>
        <v>9.9999999999999645E-2</v>
      </c>
      <c r="Q158" s="12"/>
      <c r="R158" s="12"/>
    </row>
    <row r="159" spans="2:18" ht="41.4" customHeight="1" x14ac:dyDescent="0.3">
      <c r="B159" s="8" t="s">
        <v>17</v>
      </c>
      <c r="C159" s="8" t="s">
        <v>18</v>
      </c>
      <c r="D159" s="8" t="s">
        <v>105</v>
      </c>
      <c r="E159" s="8" t="s">
        <v>106</v>
      </c>
      <c r="F159" s="9">
        <v>45988</v>
      </c>
      <c r="G159" s="9"/>
      <c r="H159" s="8"/>
      <c r="I159" s="8" t="s">
        <v>111</v>
      </c>
      <c r="J159" s="31" t="str">
        <f>IFERROR(VLOOKUP(MUESTREO_LABORAL_A2[[#This Row],[ACTIVIDAD]],'Lista Maestra'!$D$6:$F$190,3,0),"")</f>
        <v>PLANIFICACIÓN</v>
      </c>
      <c r="K159" s="31" t="str">
        <f>IFERROR(VLOOKUP(MUESTREO_LABORAL_A2[[#This Row],[ACTIVIDAD]],'Lista Maestra'!$D$6:$F$190,2,0),"")</f>
        <v>Elaborar y actualizar el consolidado semanal de viajes, integrando la información de los diferentes reportes de transporte.</v>
      </c>
      <c r="L159" s="8" t="s">
        <v>22</v>
      </c>
      <c r="M159" s="8"/>
      <c r="N159" s="10">
        <v>0.59930555555555554</v>
      </c>
      <c r="O159" s="10">
        <v>0.6479166666666667</v>
      </c>
      <c r="P159" s="7">
        <f>IF(MUESTREO_LABORAL_A2[[#This Row],[TIEMPO INICIO]]="","",(MUESTREO_LABORAL_A2[[#This Row],[TIEMPO FIN]]-MUESTREO_LABORAL_A2[[#This Row],[TIEMPO INICIO]])*24)</f>
        <v>1.1666666666666679</v>
      </c>
      <c r="Q159" s="12"/>
      <c r="R159" s="12"/>
    </row>
    <row r="160" spans="2:18" ht="55.2" customHeight="1" x14ac:dyDescent="0.3">
      <c r="B160" s="8" t="s">
        <v>17</v>
      </c>
      <c r="C160" s="8" t="s">
        <v>18</v>
      </c>
      <c r="D160" s="8" t="s">
        <v>105</v>
      </c>
      <c r="E160" s="8" t="s">
        <v>106</v>
      </c>
      <c r="F160" s="9">
        <v>45988</v>
      </c>
      <c r="G160" s="9"/>
      <c r="H160" s="8"/>
      <c r="I160" s="8" t="s">
        <v>127</v>
      </c>
      <c r="J160" s="31" t="str">
        <f>IFERROR(VLOOKUP(MUESTREO_LABORAL_A2[[#This Row],[ACTIVIDAD]],'Lista Maestra'!$D$6:$F$190,3,0),"")</f>
        <v>GESTIÓN DOCUMENTAL</v>
      </c>
      <c r="K160" s="31" t="str">
        <f>IFERROR(VLOOKUP(MUESTREO_LABORAL_A2[[#This Row],[ACTIVIDAD]],'Lista Maestra'!$D$6:$F$190,2,0),"")</f>
        <v>Verificar y conciliar la información del libro mayor con los reportes de viajes correspondientes a los diferentes servicios de transporte, asegurando la coherencia de los valores registrados y cuentas contables.</v>
      </c>
      <c r="L160" s="8" t="s">
        <v>22</v>
      </c>
      <c r="M160" s="8"/>
      <c r="N160" s="10">
        <v>0.6069444444444444</v>
      </c>
      <c r="O160" s="10">
        <v>0.6479166666666667</v>
      </c>
      <c r="P160" s="7">
        <f>IF(MUESTREO_LABORAL_A2[[#This Row],[TIEMPO INICIO]]="","",(MUESTREO_LABORAL_A2[[#This Row],[TIEMPO FIN]]-MUESTREO_LABORAL_A2[[#This Row],[TIEMPO INICIO]])*24)</f>
        <v>0.98333333333333517</v>
      </c>
      <c r="Q160" s="12"/>
      <c r="R160" s="12"/>
    </row>
    <row r="161" spans="2:18" ht="41.4" customHeight="1" x14ac:dyDescent="0.3">
      <c r="B161" s="8" t="s">
        <v>17</v>
      </c>
      <c r="C161" s="8" t="s">
        <v>18</v>
      </c>
      <c r="D161" s="8" t="s">
        <v>105</v>
      </c>
      <c r="E161" s="8" t="s">
        <v>106</v>
      </c>
      <c r="F161" s="9">
        <v>45988</v>
      </c>
      <c r="G161" s="9"/>
      <c r="H161" s="8"/>
      <c r="I161" s="8" t="s">
        <v>108</v>
      </c>
      <c r="J161" s="31" t="str">
        <f>IFERROR(VLOOKUP(MUESTREO_LABORAL_A2[[#This Row],[ACTIVIDAD]],'Lista Maestra'!$D$6:$F$190,3,0),"")</f>
        <v>GESTIÓN DOCUMENTAL</v>
      </c>
      <c r="K161" s="31" t="str">
        <f>IFERROR(VLOOKUP(MUESTREO_LABORAL_A2[[#This Row],[ACTIVIDAD]],'Lista Maestra'!$D$6:$F$190,2,0),"")</f>
        <v>Análisis y revisión del reporte de cobro de contenedores (Andrea Bowen) a productores directos y por medio de liquidación BANANO-aplicación de criterios</v>
      </c>
      <c r="L161" s="8" t="s">
        <v>22</v>
      </c>
      <c r="M161" s="8"/>
      <c r="N161" s="10">
        <v>0.6069444444444444</v>
      </c>
      <c r="O161" s="10">
        <v>0.6479166666666667</v>
      </c>
      <c r="P161" s="7">
        <f>IF(MUESTREO_LABORAL_A2[[#This Row],[TIEMPO INICIO]]="","",(MUESTREO_LABORAL_A2[[#This Row],[TIEMPO FIN]]-MUESTREO_LABORAL_A2[[#This Row],[TIEMPO INICIO]])*24)</f>
        <v>0.98333333333333517</v>
      </c>
      <c r="Q161" s="12"/>
      <c r="R161" s="12"/>
    </row>
    <row r="162" spans="2:18" ht="41.4" customHeight="1" x14ac:dyDescent="0.3">
      <c r="B162" s="8" t="s">
        <v>17</v>
      </c>
      <c r="C162" s="8" t="s">
        <v>18</v>
      </c>
      <c r="D162" s="8" t="s">
        <v>105</v>
      </c>
      <c r="E162" s="8" t="s">
        <v>106</v>
      </c>
      <c r="F162" s="9">
        <v>45989</v>
      </c>
      <c r="G162" s="9"/>
      <c r="H162" s="8"/>
      <c r="I162" s="8" t="s">
        <v>108</v>
      </c>
      <c r="J162" s="31" t="str">
        <f>IFERROR(VLOOKUP(MUESTREO_LABORAL_A2[[#This Row],[ACTIVIDAD]],'Lista Maestra'!$D$6:$F$190,3,0),"")</f>
        <v>GESTIÓN DOCUMENTAL</v>
      </c>
      <c r="K162" s="31" t="str">
        <f>IFERROR(VLOOKUP(MUESTREO_LABORAL_A2[[#This Row],[ACTIVIDAD]],'Lista Maestra'!$D$6:$F$190,2,0),"")</f>
        <v>Análisis y revisión del reporte de cobro de contenedores (Andrea Bowen) a productores directos y por medio de liquidación BANANO-aplicación de criterios</v>
      </c>
      <c r="L162" s="8" t="s">
        <v>22</v>
      </c>
      <c r="M162" s="8"/>
      <c r="N162" s="10">
        <v>0.35416666666666669</v>
      </c>
      <c r="O162" s="10">
        <v>0.3840277777777778</v>
      </c>
      <c r="P162" s="7">
        <f>IF(MUESTREO_LABORAL_A2[[#This Row],[TIEMPO INICIO]]="","",(MUESTREO_LABORAL_A2[[#This Row],[TIEMPO FIN]]-MUESTREO_LABORAL_A2[[#This Row],[TIEMPO INICIO]])*24)</f>
        <v>0.71666666666666679</v>
      </c>
      <c r="Q162" s="12"/>
      <c r="R162" s="12"/>
    </row>
    <row r="163" spans="2:18" ht="27.6" customHeight="1" x14ac:dyDescent="0.3">
      <c r="B163" s="8" t="s">
        <v>17</v>
      </c>
      <c r="C163" s="8" t="s">
        <v>18</v>
      </c>
      <c r="D163" s="8" t="s">
        <v>105</v>
      </c>
      <c r="E163" s="8" t="s">
        <v>106</v>
      </c>
      <c r="F163" s="9">
        <v>45989</v>
      </c>
      <c r="G163" s="9"/>
      <c r="H163" s="8"/>
      <c r="I163" s="8" t="s">
        <v>113</v>
      </c>
      <c r="J163" s="31" t="str">
        <f>IFERROR(VLOOKUP(MUESTREO_LABORAL_A2[[#This Row],[ACTIVIDAD]],'Lista Maestra'!$D$6:$F$190,3,0),"")</f>
        <v>PLANIFICACIÓN</v>
      </c>
      <c r="K163"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163" s="8" t="s">
        <v>22</v>
      </c>
      <c r="M163" s="8"/>
      <c r="N163" s="10">
        <v>0.38124999999999998</v>
      </c>
      <c r="O163" s="10">
        <v>0.43611111111111112</v>
      </c>
      <c r="P163" s="7">
        <f>IF(MUESTREO_LABORAL_A2[[#This Row],[TIEMPO INICIO]]="","",(MUESTREO_LABORAL_A2[[#This Row],[TIEMPO FIN]]-MUESTREO_LABORAL_A2[[#This Row],[TIEMPO INICIO]])*24)</f>
        <v>1.3166666666666673</v>
      </c>
      <c r="Q163" s="12"/>
      <c r="R163" s="12"/>
    </row>
    <row r="164" spans="2:18" x14ac:dyDescent="0.3">
      <c r="B164" s="8" t="s">
        <v>17</v>
      </c>
      <c r="C164" s="8" t="s">
        <v>18</v>
      </c>
      <c r="D164" s="8" t="s">
        <v>105</v>
      </c>
      <c r="E164" s="8" t="s">
        <v>106</v>
      </c>
      <c r="F164" s="9">
        <v>45989</v>
      </c>
      <c r="G164" s="9"/>
      <c r="H164" s="8"/>
      <c r="I164" s="8" t="s">
        <v>123</v>
      </c>
      <c r="J164" s="31" t="str">
        <f>IFERROR(VLOOKUP(MUESTREO_LABORAL_A2[[#This Row],[ACTIVIDAD]],'Lista Maestra'!$D$6:$F$190,3,0),"")</f>
        <v>GESTIÓN DOCUMENTAL</v>
      </c>
      <c r="K164" s="31" t="str">
        <f>IFERROR(VLOOKUP(MUESTREO_LABORAL_A2[[#This Row],[ACTIVIDAD]],'Lista Maestra'!$D$6:$F$190,2,0),"")</f>
        <v>Revisión general de guias abiertas y devueltas</v>
      </c>
      <c r="L164" s="8" t="s">
        <v>22</v>
      </c>
      <c r="M164" s="8"/>
      <c r="N164" s="10">
        <v>0.43611111111111112</v>
      </c>
      <c r="O164" s="10">
        <v>0.43958333333333333</v>
      </c>
      <c r="P164" s="7">
        <f>IF(MUESTREO_LABORAL_A2[[#This Row],[TIEMPO INICIO]]="","",(MUESTREO_LABORAL_A2[[#This Row],[TIEMPO FIN]]-MUESTREO_LABORAL_A2[[#This Row],[TIEMPO INICIO]])*24)</f>
        <v>8.3333333333333037E-2</v>
      </c>
      <c r="Q164" s="12"/>
      <c r="R164" s="12"/>
    </row>
    <row r="165" spans="2:18" ht="55.2" customHeight="1" x14ac:dyDescent="0.3">
      <c r="B165" s="8" t="s">
        <v>17</v>
      </c>
      <c r="C165" s="8" t="s">
        <v>18</v>
      </c>
      <c r="D165" s="8" t="s">
        <v>105</v>
      </c>
      <c r="E165" s="8" t="s">
        <v>106</v>
      </c>
      <c r="F165" s="9">
        <v>45989</v>
      </c>
      <c r="G165" s="9"/>
      <c r="H165" s="8"/>
      <c r="I165" s="8" t="s">
        <v>119</v>
      </c>
      <c r="J165" s="31" t="str">
        <f>IFERROR(VLOOKUP(MUESTREO_LABORAL_A2[[#This Row],[ACTIVIDAD]],'Lista Maestra'!$D$6:$F$190,3,0),"")</f>
        <v>RETENCIONES</v>
      </c>
      <c r="K165" s="31" t="str">
        <f>IFERROR(VLOOKUP(MUESTREO_LABORAL_A2[[#This Row],[ACTIVIDAD]],'Lista Maestra'!$D$6:$F$190,2,0),"")</f>
        <v>Verificar la correcta anulación de las retenciones registradas en sap, posterior a la anulación en el sistema, se efectúe la solicitud correspondiente en el portal del sri, garantizando la coherencia entre ambas plataformas y la trazabilidad del proceso contable.</v>
      </c>
      <c r="L165" s="8" t="s">
        <v>22</v>
      </c>
      <c r="M165" s="8"/>
      <c r="N165" s="10">
        <v>0.43680555555555561</v>
      </c>
      <c r="O165" s="10">
        <v>0.43958333333333333</v>
      </c>
      <c r="P165" s="7">
        <f>IF(MUESTREO_LABORAL_A2[[#This Row],[TIEMPO INICIO]]="","",(MUESTREO_LABORAL_A2[[#This Row],[TIEMPO FIN]]-MUESTREO_LABORAL_A2[[#This Row],[TIEMPO INICIO]])*24)</f>
        <v>6.6666666666665098E-2</v>
      </c>
      <c r="Q165" s="12"/>
      <c r="R165" s="12"/>
    </row>
    <row r="166" spans="2:18" ht="27.6" customHeight="1" x14ac:dyDescent="0.3">
      <c r="B166" s="8" t="s">
        <v>17</v>
      </c>
      <c r="C166" s="8" t="s">
        <v>18</v>
      </c>
      <c r="D166" s="8" t="s">
        <v>105</v>
      </c>
      <c r="E166" s="8" t="s">
        <v>106</v>
      </c>
      <c r="F166" s="9">
        <v>45989</v>
      </c>
      <c r="G166" s="9"/>
      <c r="H166" s="8"/>
      <c r="I166" s="8" t="s">
        <v>113</v>
      </c>
      <c r="J166" s="31" t="str">
        <f>IFERROR(VLOOKUP(MUESTREO_LABORAL_A2[[#This Row],[ACTIVIDAD]],'Lista Maestra'!$D$6:$F$190,3,0),"")</f>
        <v>PLANIFICACIÓN</v>
      </c>
      <c r="K166" s="31" t="str">
        <f>IFERROR(VLOOKUP(MUESTREO_LABORAL_A2[[#This Row],[ACTIVIDAD]],'Lista Maestra'!$D$6:$F$190,2,0),"")</f>
        <v>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 Asignar los activos</v>
      </c>
      <c r="L166" s="8" t="s">
        <v>22</v>
      </c>
      <c r="M166" s="8"/>
      <c r="N166" s="10">
        <v>0.43958333333333333</v>
      </c>
      <c r="O166" s="10">
        <v>0.44374999999999998</v>
      </c>
      <c r="P166" s="7">
        <f>IF(MUESTREO_LABORAL_A2[[#This Row],[TIEMPO INICIO]]="","",(MUESTREO_LABORAL_A2[[#This Row],[TIEMPO FIN]]-MUESTREO_LABORAL_A2[[#This Row],[TIEMPO INICIO]])*24)</f>
        <v>9.9999999999999645E-2</v>
      </c>
      <c r="Q166" s="12"/>
      <c r="R166" s="12"/>
    </row>
    <row r="167" spans="2:18" x14ac:dyDescent="0.3">
      <c r="B167" s="8" t="s">
        <v>17</v>
      </c>
      <c r="C167" s="8" t="s">
        <v>18</v>
      </c>
      <c r="D167" s="8" t="s">
        <v>105</v>
      </c>
      <c r="E167" s="8" t="s">
        <v>106</v>
      </c>
      <c r="F167" s="9">
        <v>45989</v>
      </c>
      <c r="G167" s="9"/>
      <c r="H167" s="8"/>
      <c r="I167" s="8" t="s">
        <v>123</v>
      </c>
      <c r="J167" s="31" t="str">
        <f>IFERROR(VLOOKUP(MUESTREO_LABORAL_A2[[#This Row],[ACTIVIDAD]],'Lista Maestra'!$D$6:$F$190,3,0),"")</f>
        <v>GESTIÓN DOCUMENTAL</v>
      </c>
      <c r="K167" s="31" t="str">
        <f>IFERROR(VLOOKUP(MUESTREO_LABORAL_A2[[#This Row],[ACTIVIDAD]],'Lista Maestra'!$D$6:$F$190,2,0),"")</f>
        <v>Revisión general de guias abiertas y devueltas</v>
      </c>
      <c r="L167" s="8" t="s">
        <v>22</v>
      </c>
      <c r="M167" s="8"/>
      <c r="N167" s="10">
        <v>0.44374999999999998</v>
      </c>
      <c r="O167" s="10">
        <v>0.47430555555555548</v>
      </c>
      <c r="P167" s="7">
        <f>IF(MUESTREO_LABORAL_A2[[#This Row],[TIEMPO INICIO]]="","",(MUESTREO_LABORAL_A2[[#This Row],[TIEMPO FIN]]-MUESTREO_LABORAL_A2[[#This Row],[TIEMPO INICIO]])*24)</f>
        <v>0.73333333333333206</v>
      </c>
      <c r="Q167" s="12"/>
      <c r="R167" s="12"/>
    </row>
    <row r="168" spans="2:18" ht="55.2" customHeight="1" x14ac:dyDescent="0.3">
      <c r="B168" s="8" t="s">
        <v>17</v>
      </c>
      <c r="C168" s="8" t="s">
        <v>18</v>
      </c>
      <c r="D168" s="8" t="s">
        <v>105</v>
      </c>
      <c r="E168" s="8" t="s">
        <v>106</v>
      </c>
      <c r="F168" s="9">
        <v>45989</v>
      </c>
      <c r="G168" s="9"/>
      <c r="H168" s="8"/>
      <c r="I168" s="8" t="s">
        <v>119</v>
      </c>
      <c r="J168" s="31" t="str">
        <f>IFERROR(VLOOKUP(MUESTREO_LABORAL_A2[[#This Row],[ACTIVIDAD]],'Lista Maestra'!$D$6:$F$190,3,0),"")</f>
        <v>RETENCIONES</v>
      </c>
      <c r="K168" s="31" t="str">
        <f>IFERROR(VLOOKUP(MUESTREO_LABORAL_A2[[#This Row],[ACTIVIDAD]],'Lista Maestra'!$D$6:$F$190,2,0),"")</f>
        <v>Verificar la correcta anulación de las retenciones registradas en sap, posterior a la anulación en el sistema, se efectúe la solicitud correspondiente en el portal del sri, garantizando la coherencia entre ambas plataformas y la trazabilidad del proceso contable.</v>
      </c>
      <c r="L168" s="8" t="s">
        <v>22</v>
      </c>
      <c r="M168" s="8"/>
      <c r="N168" s="10">
        <v>0.44374999999999998</v>
      </c>
      <c r="O168" s="10">
        <v>0.47430555555555548</v>
      </c>
      <c r="P168" s="7">
        <f>IF(MUESTREO_LABORAL_A2[[#This Row],[TIEMPO INICIO]]="","",(MUESTREO_LABORAL_A2[[#This Row],[TIEMPO FIN]]-MUESTREO_LABORAL_A2[[#This Row],[TIEMPO INICIO]])*24)</f>
        <v>0.73333333333333206</v>
      </c>
      <c r="Q168" s="12"/>
      <c r="R168" s="12"/>
    </row>
    <row r="169" spans="2:18" ht="41.4" customHeight="1" x14ac:dyDescent="0.3">
      <c r="B169" s="8" t="s">
        <v>17</v>
      </c>
      <c r="C169" s="8" t="s">
        <v>18</v>
      </c>
      <c r="D169" s="8" t="s">
        <v>105</v>
      </c>
      <c r="E169" s="8" t="s">
        <v>106</v>
      </c>
      <c r="F169" s="9">
        <v>45989</v>
      </c>
      <c r="G169" s="9"/>
      <c r="H169" s="8"/>
      <c r="I169" s="8" t="s">
        <v>111</v>
      </c>
      <c r="J169" s="31" t="str">
        <f>IFERROR(VLOOKUP(MUESTREO_LABORAL_A2[[#This Row],[ACTIVIDAD]],'Lista Maestra'!$D$6:$F$190,3,0),"")</f>
        <v>PLANIFICACIÓN</v>
      </c>
      <c r="K169" s="31" t="str">
        <f>IFERROR(VLOOKUP(MUESTREO_LABORAL_A2[[#This Row],[ACTIVIDAD]],'Lista Maestra'!$D$6:$F$190,2,0),"")</f>
        <v>Elaborar y actualizar el consolidado semanal de viajes, integrando la información de los diferentes reportes de transporte.</v>
      </c>
      <c r="L169" s="8" t="s">
        <v>22</v>
      </c>
      <c r="M169" s="8"/>
      <c r="N169" s="10">
        <v>0.47430555555555548</v>
      </c>
      <c r="O169" s="10">
        <v>0.50069444444444444</v>
      </c>
      <c r="P169" s="7">
        <f>IF(MUESTREO_LABORAL_A2[[#This Row],[TIEMPO INICIO]]="","",(MUESTREO_LABORAL_A2[[#This Row],[TIEMPO FIN]]-MUESTREO_LABORAL_A2[[#This Row],[TIEMPO INICIO]])*24)</f>
        <v>0.63333333333333508</v>
      </c>
      <c r="Q169" s="12"/>
      <c r="R169" s="12"/>
    </row>
    <row r="170" spans="2:18" ht="55.2" customHeight="1" x14ac:dyDescent="0.3">
      <c r="B170" s="8" t="s">
        <v>17</v>
      </c>
      <c r="C170" s="8" t="s">
        <v>18</v>
      </c>
      <c r="D170" s="8" t="s">
        <v>105</v>
      </c>
      <c r="E170" s="8" t="s">
        <v>106</v>
      </c>
      <c r="F170" s="9">
        <v>45989</v>
      </c>
      <c r="G170" s="9"/>
      <c r="H170" s="8"/>
      <c r="I170" s="8" t="s">
        <v>127</v>
      </c>
      <c r="J170" s="31" t="str">
        <f>IFERROR(VLOOKUP(MUESTREO_LABORAL_A2[[#This Row],[ACTIVIDAD]],'Lista Maestra'!$D$6:$F$190,3,0),"")</f>
        <v>GESTIÓN DOCUMENTAL</v>
      </c>
      <c r="K170" s="31" t="str">
        <f>IFERROR(VLOOKUP(MUESTREO_LABORAL_A2[[#This Row],[ACTIVIDAD]],'Lista Maestra'!$D$6:$F$190,2,0),"")</f>
        <v>Verificar y conciliar la información del libro mayor con los reportes de viajes correspondientes a los diferentes servicios de transporte, asegurando la coherencia de los valores registrados y cuentas contables.</v>
      </c>
      <c r="L170" s="8" t="s">
        <v>22</v>
      </c>
      <c r="M170" s="8"/>
      <c r="N170" s="10">
        <v>0.47569444444444442</v>
      </c>
      <c r="O170" s="10">
        <v>0.50069444444444444</v>
      </c>
      <c r="P170" s="7">
        <f>IF(MUESTREO_LABORAL_A2[[#This Row],[TIEMPO INICIO]]="","",(MUESTREO_LABORAL_A2[[#This Row],[TIEMPO FIN]]-MUESTREO_LABORAL_A2[[#This Row],[TIEMPO INICIO]])*24)</f>
        <v>0.60000000000000053</v>
      </c>
      <c r="Q170" s="12"/>
      <c r="R170" s="12"/>
    </row>
    <row r="171" spans="2:18" x14ac:dyDescent="0.3">
      <c r="B171" s="8" t="s">
        <v>17</v>
      </c>
      <c r="C171" s="8" t="s">
        <v>18</v>
      </c>
      <c r="D171" s="8" t="s">
        <v>105</v>
      </c>
      <c r="E171" s="8" t="s">
        <v>106</v>
      </c>
      <c r="F171" s="9">
        <v>45989</v>
      </c>
      <c r="G171" s="9"/>
      <c r="H171" s="8"/>
      <c r="I171" s="8" t="s">
        <v>26</v>
      </c>
      <c r="J171" s="31" t="str">
        <f>IFERROR(VLOOKUP(MUESTREO_LABORAL_A2[[#This Row],[ACTIVIDAD]],'Lista Maestra'!$D$6:$F$190,3,0),"")</f>
        <v>NECESIDADES BIOLÓGICAS</v>
      </c>
      <c r="K171" s="31" t="str">
        <f>IFERROR(VLOOKUP(MUESTREO_LABORAL_A2[[#This Row],[ACTIVIDAD]],'Lista Maestra'!$D$6:$F$190,2,0),"")</f>
        <v>PROCESO DE MICCIÓN Y AGREGADOS</v>
      </c>
      <c r="L171" s="8" t="s">
        <v>26</v>
      </c>
      <c r="M171" s="8"/>
      <c r="N171" s="10">
        <v>0.50069444444444444</v>
      </c>
      <c r="O171" s="10">
        <v>0.50555555555555554</v>
      </c>
      <c r="P171" s="7">
        <f>IF(MUESTREO_LABORAL_A2[[#This Row],[TIEMPO INICIO]]="","",(MUESTREO_LABORAL_A2[[#This Row],[TIEMPO FIN]]-MUESTREO_LABORAL_A2[[#This Row],[TIEMPO INICIO]])*24)</f>
        <v>0.11666666666666625</v>
      </c>
      <c r="Q171" s="12"/>
      <c r="R171" s="12"/>
    </row>
    <row r="172" spans="2:18" ht="41.4" customHeight="1" x14ac:dyDescent="0.3">
      <c r="B172" s="8" t="s">
        <v>17</v>
      </c>
      <c r="C172" s="8" t="s">
        <v>18</v>
      </c>
      <c r="D172" s="8" t="s">
        <v>105</v>
      </c>
      <c r="E172" s="8" t="s">
        <v>106</v>
      </c>
      <c r="F172" s="9">
        <v>45989</v>
      </c>
      <c r="G172" s="9"/>
      <c r="H172" s="8"/>
      <c r="I172" s="8" t="s">
        <v>111</v>
      </c>
      <c r="J172" s="31" t="str">
        <f>IFERROR(VLOOKUP(MUESTREO_LABORAL_A2[[#This Row],[ACTIVIDAD]],'Lista Maestra'!$D$6:$F$190,3,0),"")</f>
        <v>PLANIFICACIÓN</v>
      </c>
      <c r="K172" s="31" t="str">
        <f>IFERROR(VLOOKUP(MUESTREO_LABORAL_A2[[#This Row],[ACTIVIDAD]],'Lista Maestra'!$D$6:$F$190,2,0),"")</f>
        <v>Elaborar y actualizar el consolidado semanal de viajes, integrando la información de los diferentes reportes de transporte.</v>
      </c>
      <c r="L172" s="8" t="s">
        <v>22</v>
      </c>
      <c r="M172" s="8"/>
      <c r="N172" s="10">
        <v>0.50555555555555554</v>
      </c>
      <c r="O172" s="10">
        <v>0.61388888888888893</v>
      </c>
      <c r="P172" s="7">
        <f>IF(MUESTREO_LABORAL_A2[[#This Row],[TIEMPO INICIO]]="","",(MUESTREO_LABORAL_A2[[#This Row],[TIEMPO FIN]]-MUESTREO_LABORAL_A2[[#This Row],[TIEMPO INICIO]])*24)</f>
        <v>2.6000000000000014</v>
      </c>
      <c r="Q172" s="12"/>
      <c r="R172" s="12"/>
    </row>
    <row r="173" spans="2:18" ht="55.2" customHeight="1" x14ac:dyDescent="0.3">
      <c r="B173" s="8" t="s">
        <v>17</v>
      </c>
      <c r="C173" s="8" t="s">
        <v>18</v>
      </c>
      <c r="D173" s="8" t="s">
        <v>105</v>
      </c>
      <c r="E173" s="8" t="s">
        <v>106</v>
      </c>
      <c r="F173" s="9">
        <v>45989</v>
      </c>
      <c r="G173" s="9"/>
      <c r="H173" s="8"/>
      <c r="I173" s="8" t="s">
        <v>127</v>
      </c>
      <c r="J173" s="31" t="str">
        <f>IFERROR(VLOOKUP(MUESTREO_LABORAL_A2[[#This Row],[ACTIVIDAD]],'Lista Maestra'!$D$6:$F$190,3,0),"")</f>
        <v>GESTIÓN DOCUMENTAL</v>
      </c>
      <c r="K173" s="31" t="str">
        <f>IFERROR(VLOOKUP(MUESTREO_LABORAL_A2[[#This Row],[ACTIVIDAD]],'Lista Maestra'!$D$6:$F$190,2,0),"")</f>
        <v>Verificar y conciliar la información del libro mayor con los reportes de viajes correspondientes a los diferentes servicios de transporte, asegurando la coherencia de los valores registrados y cuentas contables.</v>
      </c>
      <c r="L173" s="8" t="s">
        <v>22</v>
      </c>
      <c r="M173" s="8"/>
      <c r="N173" s="10">
        <v>0.50555555555555554</v>
      </c>
      <c r="O173" s="10">
        <v>0.61388888888888893</v>
      </c>
      <c r="P173" s="7">
        <f>IF(MUESTREO_LABORAL_A2[[#This Row],[TIEMPO INICIO]]="","",(MUESTREO_LABORAL_A2[[#This Row],[TIEMPO FIN]]-MUESTREO_LABORAL_A2[[#This Row],[TIEMPO INICIO]])*24)</f>
        <v>2.6000000000000014</v>
      </c>
      <c r="Q173" s="12"/>
      <c r="R173" s="12"/>
    </row>
    <row r="174" spans="2:18" ht="27.6" customHeight="1" x14ac:dyDescent="0.3">
      <c r="B174" s="8" t="s">
        <v>17</v>
      </c>
      <c r="C174" s="8" t="s">
        <v>18</v>
      </c>
      <c r="D174" s="8" t="s">
        <v>105</v>
      </c>
      <c r="E174" s="8" t="s">
        <v>106</v>
      </c>
      <c r="F174" s="9">
        <v>45989</v>
      </c>
      <c r="G174" s="9"/>
      <c r="H174" s="8"/>
      <c r="I174" s="8" t="s">
        <v>117</v>
      </c>
      <c r="J174" s="31" t="str">
        <f>IFERROR(VLOOKUP(MUESTREO_LABORAL_A2[[#This Row],[ACTIVIDAD]],'Lista Maestra'!$D$6:$F$190,3,0),"")</f>
        <v>FACTURACIÓN</v>
      </c>
      <c r="K174" s="31" t="str">
        <f>IFERROR(VLOOKUP(MUESTREO_LABORAL_A2[[#This Row],[ACTIVIDAD]],'Lista Maestra'!$D$6:$F$190,2,0),"")</f>
        <v>Explicación personalizada de facturaciones a productores vía telefónica, email, whatsapp, entre otros medios</v>
      </c>
      <c r="L174" s="8" t="s">
        <v>22</v>
      </c>
      <c r="M174" s="8"/>
      <c r="N174" s="10">
        <v>0.52083333333333337</v>
      </c>
      <c r="O174" s="10">
        <v>0.61388888888888893</v>
      </c>
      <c r="P174" s="7">
        <f>IF(MUESTREO_LABORAL_A2[[#This Row],[TIEMPO INICIO]]="","",(MUESTREO_LABORAL_A2[[#This Row],[TIEMPO FIN]]-MUESTREO_LABORAL_A2[[#This Row],[TIEMPO INICIO]])*24)</f>
        <v>2.2333333333333334</v>
      </c>
      <c r="Q174" s="12"/>
      <c r="R174" s="12"/>
    </row>
    <row r="175" spans="2:18" ht="69" customHeight="1" x14ac:dyDescent="0.3">
      <c r="B175" s="8" t="s">
        <v>17</v>
      </c>
      <c r="C175" s="8" t="s">
        <v>18</v>
      </c>
      <c r="D175" s="8" t="s">
        <v>105</v>
      </c>
      <c r="E175" s="8" t="s">
        <v>106</v>
      </c>
      <c r="F175" s="9">
        <v>45989</v>
      </c>
      <c r="G175" s="9"/>
      <c r="H175" s="8"/>
      <c r="I175" s="8" t="s">
        <v>122</v>
      </c>
      <c r="J175" s="31" t="str">
        <f>IFERROR(VLOOKUP(MUESTREO_LABORAL_A2[[#This Row],[ACTIVIDAD]],'Lista Maestra'!$D$6:$F$190,3,0),"")</f>
        <v>PLANIFICACIÓN</v>
      </c>
      <c r="K175" s="31" t="str">
        <f>IFERROR(VLOOKUP(MUESTREO_LABORAL_A2[[#This Row],[ACTIVIDAD]],'Lista Maestra'!$D$6:$F$190,2,0),"")</f>
        <v>Elaborar, actualizar y gestionar el listado y la documentación de los conductores y transportistas tercerizados, verificando el cumplimiento de los requisitos y estándares establecidos por la auditoría basc. asegurar que toda la información se mantenga vigente.</v>
      </c>
      <c r="L175" s="8" t="s">
        <v>22</v>
      </c>
      <c r="M175" s="8"/>
      <c r="N175" s="10">
        <v>0.61388888888888893</v>
      </c>
      <c r="O175" s="10">
        <v>0.62638888888888888</v>
      </c>
      <c r="P175" s="7">
        <f>IF(MUESTREO_LABORAL_A2[[#This Row],[TIEMPO INICIO]]="","",(MUESTREO_LABORAL_A2[[#This Row],[TIEMPO FIN]]-MUESTREO_LABORAL_A2[[#This Row],[TIEMPO INICIO]])*24)</f>
        <v>0.29999999999999893</v>
      </c>
      <c r="Q175" s="12"/>
      <c r="R175" s="12"/>
    </row>
    <row r="176" spans="2:18" x14ac:dyDescent="0.3">
      <c r="B176" s="8" t="s">
        <v>17</v>
      </c>
      <c r="C176" s="8" t="s">
        <v>18</v>
      </c>
      <c r="D176" s="8" t="s">
        <v>105</v>
      </c>
      <c r="E176" s="8" t="s">
        <v>106</v>
      </c>
      <c r="F176" s="9">
        <v>45989</v>
      </c>
      <c r="G176" s="9"/>
      <c r="H176" s="8"/>
      <c r="I176" s="8" t="s">
        <v>26</v>
      </c>
      <c r="J176" s="31" t="str">
        <f>IFERROR(VLOOKUP(MUESTREO_LABORAL_A2[[#This Row],[ACTIVIDAD]],'Lista Maestra'!$D$6:$F$190,3,0),"")</f>
        <v>NECESIDADES BIOLÓGICAS</v>
      </c>
      <c r="K176" s="31" t="str">
        <f>IFERROR(VLOOKUP(MUESTREO_LABORAL_A2[[#This Row],[ACTIVIDAD]],'Lista Maestra'!$D$6:$F$190,2,0),"")</f>
        <v>PROCESO DE MICCIÓN Y AGREGADOS</v>
      </c>
      <c r="L176" s="8" t="s">
        <v>26</v>
      </c>
      <c r="M176" s="8"/>
      <c r="N176" s="10">
        <v>0.62638888888888888</v>
      </c>
      <c r="O176" s="10">
        <v>0.63124999999999998</v>
      </c>
      <c r="P176" s="7">
        <f>IF(MUESTREO_LABORAL_A2[[#This Row],[TIEMPO INICIO]]="","",(MUESTREO_LABORAL_A2[[#This Row],[TIEMPO FIN]]-MUESTREO_LABORAL_A2[[#This Row],[TIEMPO INICIO]])*24)</f>
        <v>0.11666666666666625</v>
      </c>
      <c r="Q176" s="12"/>
      <c r="R176" s="12"/>
    </row>
    <row r="177" spans="2:18" ht="69" customHeight="1" x14ac:dyDescent="0.3">
      <c r="B177" s="8" t="s">
        <v>17</v>
      </c>
      <c r="C177" s="8" t="s">
        <v>18</v>
      </c>
      <c r="D177" s="8" t="s">
        <v>105</v>
      </c>
      <c r="E177" s="8" t="s">
        <v>106</v>
      </c>
      <c r="F177" s="9">
        <v>45989</v>
      </c>
      <c r="G177" s="9"/>
      <c r="H177" s="8"/>
      <c r="I177" s="8" t="s">
        <v>122</v>
      </c>
      <c r="J177" s="31" t="str">
        <f>IFERROR(VLOOKUP(MUESTREO_LABORAL_A2[[#This Row],[ACTIVIDAD]],'Lista Maestra'!$D$6:$F$190,3,0),"")</f>
        <v>PLANIFICACIÓN</v>
      </c>
      <c r="K177" s="31" t="str">
        <f>IFERROR(VLOOKUP(MUESTREO_LABORAL_A2[[#This Row],[ACTIVIDAD]],'Lista Maestra'!$D$6:$F$190,2,0),"")</f>
        <v>Elaborar, actualizar y gestionar el listado y la documentación de los conductores y transportistas tercerizados, verificando el cumplimiento de los requisitos y estándares establecidos por la auditoría basc. asegurar que toda la información se mantenga vigente.</v>
      </c>
      <c r="L177" s="8" t="s">
        <v>22</v>
      </c>
      <c r="M177" s="8"/>
      <c r="N177" s="10">
        <v>0.63124999999999998</v>
      </c>
      <c r="O177" s="10">
        <v>0.66041666666666665</v>
      </c>
      <c r="P177" s="7">
        <f>IF(MUESTREO_LABORAL_A2[[#This Row],[TIEMPO INICIO]]="","",(MUESTREO_LABORAL_A2[[#This Row],[TIEMPO FIN]]-MUESTREO_LABORAL_A2[[#This Row],[TIEMPO INICIO]])*24)</f>
        <v>0.70000000000000018</v>
      </c>
      <c r="Q177" s="12"/>
      <c r="R177" s="12"/>
    </row>
    <row r="178" spans="2:18" x14ac:dyDescent="0.3">
      <c r="B178" s="8" t="s">
        <v>17</v>
      </c>
      <c r="C178" s="8" t="s">
        <v>18</v>
      </c>
      <c r="D178" s="8" t="s">
        <v>105</v>
      </c>
      <c r="E178" s="8" t="s">
        <v>106</v>
      </c>
      <c r="F178" s="9">
        <v>45989</v>
      </c>
      <c r="G178" s="9"/>
      <c r="H178" s="8"/>
      <c r="I178" s="8" t="s">
        <v>26</v>
      </c>
      <c r="J178" s="31" t="str">
        <f>IFERROR(VLOOKUP(MUESTREO_LABORAL_A2[[#This Row],[ACTIVIDAD]],'Lista Maestra'!$D$6:$F$190,3,0),"")</f>
        <v>NECESIDADES BIOLÓGICAS</v>
      </c>
      <c r="K178" s="31" t="str">
        <f>IFERROR(VLOOKUP(MUESTREO_LABORAL_A2[[#This Row],[ACTIVIDAD]],'Lista Maestra'!$D$6:$F$190,2,0),"")</f>
        <v>PROCESO DE MICCIÓN Y AGREGADOS</v>
      </c>
      <c r="L178" s="8" t="s">
        <v>26</v>
      </c>
      <c r="M178" s="8"/>
      <c r="N178" s="10">
        <v>0.66041666666666665</v>
      </c>
      <c r="O178" s="10">
        <v>0.66249999999999998</v>
      </c>
      <c r="P178" s="7">
        <f>IF(MUESTREO_LABORAL_A2[[#This Row],[TIEMPO INICIO]]="","",(MUESTREO_LABORAL_A2[[#This Row],[TIEMPO FIN]]-MUESTREO_LABORAL_A2[[#This Row],[TIEMPO INICIO]])*24)</f>
        <v>4.9999999999999822E-2</v>
      </c>
      <c r="Q178" s="12"/>
      <c r="R178" s="12"/>
    </row>
    <row r="179" spans="2:18" ht="69" customHeight="1" x14ac:dyDescent="0.3">
      <c r="B179" s="8" t="s">
        <v>17</v>
      </c>
      <c r="C179" s="8" t="s">
        <v>18</v>
      </c>
      <c r="D179" s="8" t="s">
        <v>105</v>
      </c>
      <c r="E179" s="8" t="s">
        <v>106</v>
      </c>
      <c r="F179" s="9">
        <v>45989</v>
      </c>
      <c r="G179" s="9"/>
      <c r="H179" s="8"/>
      <c r="I179" s="8" t="s">
        <v>122</v>
      </c>
      <c r="J179" s="31" t="str">
        <f>IFERROR(VLOOKUP(MUESTREO_LABORAL_A2[[#This Row],[ACTIVIDAD]],'Lista Maestra'!$D$6:$F$190,3,0),"")</f>
        <v>PLANIFICACIÓN</v>
      </c>
      <c r="K179" s="31" t="str">
        <f>IFERROR(VLOOKUP(MUESTREO_LABORAL_A2[[#This Row],[ACTIVIDAD]],'Lista Maestra'!$D$6:$F$190,2,0),"")</f>
        <v>Elaborar, actualizar y gestionar el listado y la documentación de los conductores y transportistas tercerizados, verificando el cumplimiento de los requisitos y estándares establecidos por la auditoría basc. asegurar que toda la información se mantenga vigente.</v>
      </c>
      <c r="L179" s="8" t="s">
        <v>22</v>
      </c>
      <c r="M179" s="8"/>
      <c r="N179" s="10">
        <v>0.66249999999999998</v>
      </c>
      <c r="O179" s="10">
        <v>0.67638888888888893</v>
      </c>
      <c r="P179" s="7">
        <f>IF(MUESTREO_LABORAL_A2[[#This Row],[TIEMPO INICIO]]="","",(MUESTREO_LABORAL_A2[[#This Row],[TIEMPO FIN]]-MUESTREO_LABORAL_A2[[#This Row],[TIEMPO INICIO]])*24)</f>
        <v>0.33333333333333481</v>
      </c>
      <c r="Q179" s="12"/>
      <c r="R179" s="12"/>
    </row>
    <row r="180" spans="2:18" ht="27.6" customHeight="1" x14ac:dyDescent="0.3">
      <c r="B180" s="8" t="s">
        <v>17</v>
      </c>
      <c r="C180" s="8" t="s">
        <v>18</v>
      </c>
      <c r="D180" s="8" t="s">
        <v>105</v>
      </c>
      <c r="E180" s="8" t="s">
        <v>106</v>
      </c>
      <c r="F180" s="9">
        <v>45989</v>
      </c>
      <c r="G180" s="9"/>
      <c r="H180" s="8"/>
      <c r="I180" s="8" t="s">
        <v>131</v>
      </c>
      <c r="J180" s="31" t="str">
        <f>IFERROR(VLOOKUP(MUESTREO_LABORAL_A2[[#This Row],[ACTIVIDAD]],'Lista Maestra'!$D$6:$F$190,3,0),"")</f>
        <v>GESTIÓN DOCUMENTAL</v>
      </c>
      <c r="K180" s="31" t="str">
        <f>IFERROR(VLOOKUP(MUESTREO_LABORAL_A2[[#This Row],[ACTIVIDAD]],'Lista Maestra'!$D$6:$F$190,2,0),"")</f>
        <v>Envío de detalle de facturación de empresas relacionadas, Marly Villamar</v>
      </c>
      <c r="L180" s="8" t="s">
        <v>22</v>
      </c>
      <c r="M180" s="8"/>
      <c r="N180" s="10">
        <v>0.67638888888888893</v>
      </c>
      <c r="O180" s="10">
        <v>0.67986111111111114</v>
      </c>
      <c r="P180" s="7">
        <f>IF(MUESTREO_LABORAL_A2[[#This Row],[TIEMPO INICIO]]="","",(MUESTREO_LABORAL_A2[[#This Row],[TIEMPO FIN]]-MUESTREO_LABORAL_A2[[#This Row],[TIEMPO INICIO]])*24)</f>
        <v>8.3333333333333037E-2</v>
      </c>
      <c r="Q180" s="12"/>
      <c r="R180" s="12"/>
    </row>
    <row r="181" spans="2:18" ht="41.4" customHeight="1" x14ac:dyDescent="0.3">
      <c r="B181" s="8" t="s">
        <v>17</v>
      </c>
      <c r="C181" s="8" t="s">
        <v>18</v>
      </c>
      <c r="D181" s="8" t="s">
        <v>105</v>
      </c>
      <c r="E181" s="8" t="s">
        <v>106</v>
      </c>
      <c r="F181" s="9">
        <v>45989</v>
      </c>
      <c r="G181" s="9"/>
      <c r="H181" s="8"/>
      <c r="I181" s="8" t="s">
        <v>130</v>
      </c>
      <c r="J181" s="31" t="str">
        <f>IFERROR(VLOOKUP(MUESTREO_LABORAL_A2[[#This Row],[ACTIVIDAD]],'Lista Maestra'!$D$6:$F$190,3,0),"")</f>
        <v>FACTURACIÓN</v>
      </c>
      <c r="K181" s="31" t="str">
        <f>IFERROR(VLOOKUP(MUESTREO_LABORAL_A2[[#This Row],[ACTIVIDAD]],'Lista Maestra'!$D$6:$F$190,2,0),"")</f>
        <v>Refacturaciones varias por temas de productores en último momento (Emisiones de notas de creditos y refacturaciones a multinational)</v>
      </c>
      <c r="L181" s="8" t="s">
        <v>22</v>
      </c>
      <c r="M181" s="8"/>
      <c r="N181" s="10">
        <v>0.67986111111111114</v>
      </c>
      <c r="O181" s="10">
        <v>0.69791666666666663</v>
      </c>
      <c r="P181" s="7">
        <f>IF(MUESTREO_LABORAL_A2[[#This Row],[TIEMPO INICIO]]="","",(MUESTREO_LABORAL_A2[[#This Row],[TIEMPO FIN]]-MUESTREO_LABORAL_A2[[#This Row],[TIEMPO INICIO]])*24)</f>
        <v>0.43333333333333179</v>
      </c>
      <c r="Q181" s="12"/>
      <c r="R181" s="12"/>
    </row>
    <row r="182" spans="2:18" ht="27.6" customHeight="1" x14ac:dyDescent="0.3">
      <c r="B182" s="8" t="s">
        <v>17</v>
      </c>
      <c r="C182" s="8" t="s">
        <v>18</v>
      </c>
      <c r="D182" s="8" t="s">
        <v>105</v>
      </c>
      <c r="E182" s="8" t="s">
        <v>106</v>
      </c>
      <c r="F182" s="9">
        <v>45989</v>
      </c>
      <c r="G182" s="9"/>
      <c r="H182" s="8"/>
      <c r="I182" s="8" t="s">
        <v>132</v>
      </c>
      <c r="J182" s="31" t="str">
        <f>IFERROR(VLOOKUP(MUESTREO_LABORAL_A2[[#This Row],[ACTIVIDAD]],'Lista Maestra'!$D$6:$F$190,3,0),"")</f>
        <v>GESTIÓN DOCUMENTAL</v>
      </c>
      <c r="K182" s="31" t="str">
        <f>IFERROR(VLOOKUP(MUESTREO_LABORAL_A2[[#This Row],[ACTIVIDAD]],'Lista Maestra'!$D$6:$F$190,2,0),"")</f>
        <v>Realizar el control y seguimiento de los soportes pendientes de recepción, coordinar con los transportistas la remisión de los documentos faltantes. En los casos en que no se obtenga respuesta por parte del transportista, remitir el archivo actualizado de soportes pendientes a oscar ortega para su conocimiento y seguimiento. La validación documental final es realizada por melanie villa.</v>
      </c>
      <c r="L182" s="8" t="s">
        <v>22</v>
      </c>
      <c r="M182" s="8"/>
      <c r="N182" s="10">
        <v>0.69791666666666663</v>
      </c>
      <c r="O182" s="10">
        <v>0.7104166666666667</v>
      </c>
      <c r="P182" s="7">
        <f>IF(MUESTREO_LABORAL_A2[[#This Row],[TIEMPO INICIO]]="","",(MUESTREO_LABORAL_A2[[#This Row],[TIEMPO FIN]]-MUESTREO_LABORAL_A2[[#This Row],[TIEMPO INICIO]])*24)</f>
        <v>0.3000000000000016</v>
      </c>
      <c r="Q182" s="12"/>
      <c r="R182" s="12"/>
    </row>
    <row r="183" spans="2:18" ht="28.95" customHeight="1" x14ac:dyDescent="0.3">
      <c r="B183" s="2" t="s">
        <v>17</v>
      </c>
      <c r="C183" s="2" t="s">
        <v>18</v>
      </c>
      <c r="D183" s="8" t="s">
        <v>133</v>
      </c>
      <c r="E183" s="8" t="s">
        <v>134</v>
      </c>
      <c r="F183" s="9">
        <v>45992</v>
      </c>
      <c r="G183" s="9"/>
      <c r="H183" s="8"/>
      <c r="I183" s="8" t="s">
        <v>135</v>
      </c>
      <c r="J183" s="31" t="str">
        <f>IFERROR(VLOOKUP(MUESTREO_LABORAL_A2[[#This Row],[ACTIVIDAD]],'Lista Maestra'!$D$6:$F$190,3,0),"")</f>
        <v>GESTIÓN DOCUMENTAL</v>
      </c>
      <c r="K183" s="31" t="str">
        <f>IFERROR(VLOOKUP(MUESTREO_LABORAL_A2[[#This Row],[ACTIVIDAD]],'Lista Maestra'!$D$6:$F$190,2,0),"")</f>
        <v>SE COMPARTE A LOS CONTADORES LOS VENCIMIENTOS TRIBUTARIOS/INTERNOS DEL MES EJEMPLO (IMPUESTOS,ANEXOS,CONTRIBUCIONES ), SE REALIZA LA VERIFICACIÓN DE LA CARGA EN EL SRI, SUPER CÍAS</v>
      </c>
      <c r="L183" s="8" t="s">
        <v>22</v>
      </c>
      <c r="M183" s="8"/>
      <c r="N183" s="10">
        <v>0.45555555555555549</v>
      </c>
      <c r="O183" s="10">
        <v>0.47291666666666671</v>
      </c>
      <c r="P183" s="7">
        <f>IF(MUESTREO_LABORAL_A2[[#This Row],[TIEMPO INICIO]]="","",(MUESTREO_LABORAL_A2[[#This Row],[TIEMPO FIN]]-MUESTREO_LABORAL_A2[[#This Row],[TIEMPO INICIO]])*24)</f>
        <v>0.41666666666666918</v>
      </c>
      <c r="Q183" s="12"/>
      <c r="R183" s="12"/>
    </row>
    <row r="184" spans="2:18" ht="28.95" customHeight="1" x14ac:dyDescent="0.3">
      <c r="B184" s="2" t="s">
        <v>17</v>
      </c>
      <c r="C184" s="2" t="s">
        <v>18</v>
      </c>
      <c r="D184" s="8" t="s">
        <v>133</v>
      </c>
      <c r="E184" s="8" t="s">
        <v>134</v>
      </c>
      <c r="F184" s="9">
        <v>45992</v>
      </c>
      <c r="G184" s="9"/>
      <c r="H184" s="8"/>
      <c r="I184" s="8" t="s">
        <v>136</v>
      </c>
      <c r="J184" s="31" t="str">
        <f>IFERROR(VLOOKUP(MUESTREO_LABORAL_A2[[#This Row],[ACTIVIDAD]],'Lista Maestra'!$D$6:$F$190,3,0),"")</f>
        <v>CREACIÓN CUENTAS CONTABLES</v>
      </c>
      <c r="K184" s="31" t="str">
        <f>IFERROR(VLOOKUP(MUESTREO_LABORAL_A2[[#This Row],[ACTIVIDAD]],'Lista Maestra'!$D$6:$F$190,2,0),"")</f>
        <v>DEPENDIENDO LA NECESIDAD OPERATIVA EL CONTADOR ME INDICA MEDIANTE CORREO LAS CUENTAS QUE DEBEN CREARSE EN EL PLAN DE CUENTAS.</v>
      </c>
      <c r="L184" s="8" t="s">
        <v>22</v>
      </c>
      <c r="M184" s="8"/>
      <c r="N184" s="10">
        <v>0.47291666666666671</v>
      </c>
      <c r="O184" s="10">
        <v>0.48402777777777778</v>
      </c>
      <c r="P184" s="7">
        <f>IF(MUESTREO_LABORAL_A2[[#This Row],[TIEMPO INICIO]]="","",(MUESTREO_LABORAL_A2[[#This Row],[TIEMPO FIN]]-MUESTREO_LABORAL_A2[[#This Row],[TIEMPO INICIO]])*24)</f>
        <v>0.26666666666666572</v>
      </c>
      <c r="Q184" s="12"/>
      <c r="R184" s="12"/>
    </row>
    <row r="185" spans="2:18" ht="28.95" customHeight="1" x14ac:dyDescent="0.3">
      <c r="B185" s="2" t="s">
        <v>17</v>
      </c>
      <c r="C185" s="2" t="s">
        <v>18</v>
      </c>
      <c r="D185" s="8" t="s">
        <v>133</v>
      </c>
      <c r="E185" s="8" t="s">
        <v>134</v>
      </c>
      <c r="F185" s="9">
        <v>45992</v>
      </c>
      <c r="G185" s="9"/>
      <c r="H185" s="8"/>
      <c r="I185" s="8" t="s">
        <v>137</v>
      </c>
      <c r="J185" s="31" t="str">
        <f>IFERROR(VLOOKUP(MUESTREO_LABORAL_A2[[#This Row],[ACTIVIDAD]],'Lista Maestra'!$D$6:$F$190,3,0),"")</f>
        <v>GESTIÓN DOCUMENTAL</v>
      </c>
      <c r="K185" s="31" t="str">
        <f>IFERROR(VLOOKUP(MUESTREO_LABORAL_A2[[#This Row],[ACTIVIDAD]],'Lista Maestra'!$D$6:$F$190,2,0),"")</f>
        <v>REVISIÓN DE MAYOR DEL MES DE LA CUENTA DE SEGUROS POR AMORTIZAR CON LA FINALIDAD DE REVISAR  SI EXISTEN NUEVOS REGSITROS QUE DEBEN INCLUIRSE EN EL ANEXO DE SEGURO , LUEGO SE PROCEDE CON EL REGSITRO DE LA AMORTIZACION EN SAP</v>
      </c>
      <c r="L185" s="8" t="s">
        <v>22</v>
      </c>
      <c r="M185" s="8"/>
      <c r="N185" s="10">
        <v>0.48402777777777778</v>
      </c>
      <c r="O185" s="10">
        <v>0.49375000000000002</v>
      </c>
      <c r="P185" s="7">
        <f>IF(MUESTREO_LABORAL_A2[[#This Row],[TIEMPO INICIO]]="","",(MUESTREO_LABORAL_A2[[#This Row],[TIEMPO FIN]]-MUESTREO_LABORAL_A2[[#This Row],[TIEMPO INICIO]])*24)</f>
        <v>0.23333333333333384</v>
      </c>
      <c r="Q185" s="12"/>
      <c r="R185" s="12"/>
    </row>
    <row r="186" spans="2:18" ht="28.95" customHeight="1" x14ac:dyDescent="0.3">
      <c r="B186" s="2" t="s">
        <v>17</v>
      </c>
      <c r="C186" s="2" t="s">
        <v>18</v>
      </c>
      <c r="D186" s="8" t="s">
        <v>133</v>
      </c>
      <c r="E186" s="8" t="s">
        <v>134</v>
      </c>
      <c r="F186" s="9">
        <v>45992</v>
      </c>
      <c r="G186" s="9"/>
      <c r="H186" s="8"/>
      <c r="I186" s="8" t="s">
        <v>138</v>
      </c>
      <c r="J186" s="31" t="str">
        <f>IFERROR(VLOOKUP(MUESTREO_LABORAL_A2[[#This Row],[ACTIVIDAD]],'Lista Maestra'!$D$6:$F$190,3,0),"")</f>
        <v>DEVOLUCIONES IVA</v>
      </c>
      <c r="K186" s="31" t="str">
        <f>IFERROR(VLOOKUP(MUESTREO_LABORAL_A2[[#This Row],[ACTIVIDAD]],'Lista Maestra'!$D$6:$F$190,2,0),"")</f>
        <v>SCANNER DE LAS DEVOLUCIONES DE IVA EXPORTADOR DE TSER.</v>
      </c>
      <c r="L186" s="8" t="s">
        <v>22</v>
      </c>
      <c r="M186" s="8"/>
      <c r="N186" s="10">
        <v>0.49652777777777779</v>
      </c>
      <c r="O186" s="10">
        <v>0.52569444444444446</v>
      </c>
      <c r="P186" s="7">
        <f>IF(MUESTREO_LABORAL_A2[[#This Row],[TIEMPO INICIO]]="","",(MUESTREO_LABORAL_A2[[#This Row],[TIEMPO FIN]]-MUESTREO_LABORAL_A2[[#This Row],[TIEMPO INICIO]])*24)</f>
        <v>0.70000000000000018</v>
      </c>
      <c r="Q186" s="12"/>
      <c r="R186" s="12"/>
    </row>
    <row r="187" spans="2:18" ht="28.95" customHeight="1" x14ac:dyDescent="0.3">
      <c r="B187" s="2" t="s">
        <v>17</v>
      </c>
      <c r="C187" s="2" t="s">
        <v>18</v>
      </c>
      <c r="D187" s="8" t="s">
        <v>133</v>
      </c>
      <c r="E187" s="8" t="s">
        <v>134</v>
      </c>
      <c r="F187" s="9">
        <v>45992</v>
      </c>
      <c r="G187" s="9"/>
      <c r="H187" s="8"/>
      <c r="I187" s="8" t="s">
        <v>33</v>
      </c>
      <c r="J187" s="31" t="str">
        <f>IFERROR(VLOOKUP(MUESTREO_LABORAL_A2[[#This Row],[ACTIVIDAD]],'Lista Maestra'!$D$6:$F$190,3,0),"")</f>
        <v>ALIMENTACIÓN</v>
      </c>
      <c r="K187" s="31" t="str">
        <f>IFERROR(VLOOKUP(MUESTREO_LABORAL_A2[[#This Row],[ACTIVIDAD]],'Lista Maestra'!$D$6:$F$190,2,0),"")</f>
        <v>ALIMENTARSE</v>
      </c>
      <c r="L187" s="8" t="s">
        <v>33</v>
      </c>
      <c r="M187" s="8"/>
      <c r="N187" s="10">
        <v>0.52777777777777779</v>
      </c>
      <c r="O187" s="10">
        <v>0.56597222222222221</v>
      </c>
      <c r="P187" s="7">
        <f>IF(MUESTREO_LABORAL_A2[[#This Row],[TIEMPO INICIO]]="","",(MUESTREO_LABORAL_A2[[#This Row],[TIEMPO FIN]]-MUESTREO_LABORAL_A2[[#This Row],[TIEMPO INICIO]])*24)</f>
        <v>0.91666666666666607</v>
      </c>
      <c r="Q187" s="12"/>
      <c r="R187" s="12"/>
    </row>
    <row r="188" spans="2:18" ht="28.95" customHeight="1" x14ac:dyDescent="0.3">
      <c r="B188" s="2" t="s">
        <v>17</v>
      </c>
      <c r="C188" s="2" t="s">
        <v>18</v>
      </c>
      <c r="D188" s="8" t="s">
        <v>133</v>
      </c>
      <c r="E188" s="8" t="s">
        <v>134</v>
      </c>
      <c r="F188" s="9">
        <v>45992</v>
      </c>
      <c r="G188" s="9"/>
      <c r="H188" s="8"/>
      <c r="I188" s="8" t="s">
        <v>139</v>
      </c>
      <c r="J188" s="31" t="str">
        <f>IFERROR(VLOOKUP(MUESTREO_LABORAL_A2[[#This Row],[ACTIVIDAD]],'Lista Maestra'!$D$6:$F$190,3,0),"")</f>
        <v>BLOQUEO/DESBLOQUEO SAP</v>
      </c>
      <c r="K188" s="31" t="str">
        <f>IFERROR(VLOOKUP(MUESTREO_LABORAL_A2[[#This Row],[ACTIVIDAD]],'Lista Maestra'!$D$6:$F$190,2,0),"")</f>
        <v>SOPORTE BLOQUEO/DESBLOQUEO DE PERIODOS EN SAP DE LAS COMPAÑÍA DEL GRUPO PREVIA AUTOROZACION DEL CONTADOR/CONTADOR GENERAL</v>
      </c>
      <c r="L188" s="8" t="s">
        <v>22</v>
      </c>
      <c r="M188" s="8"/>
      <c r="N188" s="10">
        <v>0.56597222222222221</v>
      </c>
      <c r="O188" s="10">
        <v>0.6</v>
      </c>
      <c r="P188" s="7">
        <f>IF(MUESTREO_LABORAL_A2[[#This Row],[TIEMPO INICIO]]="","",(MUESTREO_LABORAL_A2[[#This Row],[TIEMPO FIN]]-MUESTREO_LABORAL_A2[[#This Row],[TIEMPO INICIO]])*24)</f>
        <v>0.81666666666666643</v>
      </c>
      <c r="Q188" s="12"/>
      <c r="R188" s="12"/>
    </row>
    <row r="189" spans="2:18" ht="28.95" customHeight="1" x14ac:dyDescent="0.3">
      <c r="B189" s="2" t="s">
        <v>17</v>
      </c>
      <c r="C189" s="2" t="s">
        <v>18</v>
      </c>
      <c r="D189" s="8" t="s">
        <v>133</v>
      </c>
      <c r="E189" s="8" t="s">
        <v>134</v>
      </c>
      <c r="F189" s="9">
        <v>45992</v>
      </c>
      <c r="G189" s="9"/>
      <c r="H189" s="8"/>
      <c r="I189" s="8" t="s">
        <v>137</v>
      </c>
      <c r="J189" s="31" t="str">
        <f>IFERROR(VLOOKUP(MUESTREO_LABORAL_A2[[#This Row],[ACTIVIDAD]],'Lista Maestra'!$D$6:$F$190,3,0),"")</f>
        <v>GESTIÓN DOCUMENTAL</v>
      </c>
      <c r="K189" s="31" t="str">
        <f>IFERROR(VLOOKUP(MUESTREO_LABORAL_A2[[#This Row],[ACTIVIDAD]],'Lista Maestra'!$D$6:$F$190,2,0),"")</f>
        <v>REVISIÓN DE MAYOR DEL MES DE LA CUENTA DE SEGUROS POR AMORTIZAR CON LA FINALIDAD DE REVISAR  SI EXISTEN NUEVOS REGSITROS QUE DEBEN INCLUIRSE EN EL ANEXO DE SEGURO , LUEGO SE PROCEDE CON EL REGSITRO DE LA AMORTIZACION EN SAP</v>
      </c>
      <c r="L189" s="8" t="s">
        <v>22</v>
      </c>
      <c r="M189" s="8"/>
      <c r="N189" s="10">
        <v>0.6</v>
      </c>
      <c r="O189" s="10">
        <v>0.61736111111111114</v>
      </c>
      <c r="P189" s="7">
        <f>IF(MUESTREO_LABORAL_A2[[#This Row],[TIEMPO INICIO]]="","",(MUESTREO_LABORAL_A2[[#This Row],[TIEMPO FIN]]-MUESTREO_LABORAL_A2[[#This Row],[TIEMPO INICIO]])*24)</f>
        <v>0.41666666666666785</v>
      </c>
      <c r="Q189" s="12"/>
      <c r="R189" s="12"/>
    </row>
    <row r="190" spans="2:18" ht="28.95" customHeight="1" x14ac:dyDescent="0.3">
      <c r="B190" s="2" t="s">
        <v>17</v>
      </c>
      <c r="C190" s="2" t="s">
        <v>18</v>
      </c>
      <c r="D190" s="8" t="s">
        <v>133</v>
      </c>
      <c r="E190" s="8" t="s">
        <v>134</v>
      </c>
      <c r="F190" s="9">
        <v>45992</v>
      </c>
      <c r="G190" s="9"/>
      <c r="H190" s="8"/>
      <c r="I190" s="8" t="s">
        <v>140</v>
      </c>
      <c r="J190" s="31" t="str">
        <f>IFERROR(VLOOKUP(MUESTREO_LABORAL_A2[[#This Row],[ACTIVIDAD]],'Lista Maestra'!$D$6:$F$190,3,0),"")</f>
        <v>GESTIÓN DOCUMENTAL</v>
      </c>
      <c r="K190" s="31" t="str">
        <f>IFERROR(VLOOKUP(MUESTREO_LABORAL_A2[[#This Row],[ACTIVIDAD]],'Lista Maestra'!$D$6:$F$190,2,0),"")</f>
        <v>LLEVO UN CONTROL DEL STOCK DE LAS GUIAS, CUANDO YA QUEDA POCO SOLICITO A LA IMPRENTA LA CANTIDAD NECESARIA PARA UNOS TRES MESES PROMEDIO DE CADA PUNTO DE EMISIÓN.</v>
      </c>
      <c r="L190" s="8" t="s">
        <v>22</v>
      </c>
      <c r="M190" s="8"/>
      <c r="N190" s="10">
        <v>0.62013888888888891</v>
      </c>
      <c r="O190" s="10">
        <v>0.63194444444444442</v>
      </c>
      <c r="P190" s="7">
        <f>IF(MUESTREO_LABORAL_A2[[#This Row],[TIEMPO INICIO]]="","",(MUESTREO_LABORAL_A2[[#This Row],[TIEMPO FIN]]-MUESTREO_LABORAL_A2[[#This Row],[TIEMPO INICIO]])*24)</f>
        <v>0.28333333333333233</v>
      </c>
      <c r="Q190" s="12"/>
      <c r="R190" s="12"/>
    </row>
    <row r="191" spans="2:18" ht="28.95" customHeight="1" x14ac:dyDescent="0.3">
      <c r="B191" s="2" t="s">
        <v>17</v>
      </c>
      <c r="C191" s="2" t="s">
        <v>18</v>
      </c>
      <c r="D191" s="8" t="s">
        <v>133</v>
      </c>
      <c r="E191" s="8" t="s">
        <v>134</v>
      </c>
      <c r="F191" s="9">
        <v>45992</v>
      </c>
      <c r="G191" s="9"/>
      <c r="H191" s="8"/>
      <c r="I191" s="8" t="s">
        <v>141</v>
      </c>
      <c r="J191" s="31" t="str">
        <f>IFERROR(VLOOKUP(MUESTREO_LABORAL_A2[[#This Row],[ACTIVIDAD]],'Lista Maestra'!$D$6:$F$190,3,0),"")</f>
        <v>GESTIÓN DOCUMENTAL</v>
      </c>
      <c r="K191" s="31" t="str">
        <f>IFERROR(VLOOKUP(MUESTREO_LABORAL_A2[[#This Row],[ACTIVIDAD]],'Lista Maestra'!$D$6:$F$190,2,0),"")</f>
        <v>SE BAJA EL MAYOR DEL MES DE LA CUENTA INTANGIBLES SE REALIZA LA REVISIÓN DE LOS REGISTROS Y POSTERIOR LA  CONTABILIZACIÓN EN SAP.</v>
      </c>
      <c r="L191" s="8" t="s">
        <v>22</v>
      </c>
      <c r="M191" s="8"/>
      <c r="N191" s="10">
        <v>0.63472222222222219</v>
      </c>
      <c r="O191" s="10">
        <v>0.65972222222222221</v>
      </c>
      <c r="P191" s="7">
        <f>IF(MUESTREO_LABORAL_A2[[#This Row],[TIEMPO INICIO]]="","",(MUESTREO_LABORAL_A2[[#This Row],[TIEMPO FIN]]-MUESTREO_LABORAL_A2[[#This Row],[TIEMPO INICIO]])*24)</f>
        <v>0.60000000000000053</v>
      </c>
      <c r="Q191" s="12"/>
      <c r="R191" s="12"/>
    </row>
    <row r="192" spans="2:18" ht="41.4" customHeight="1" x14ac:dyDescent="0.3">
      <c r="B192" s="2" t="s">
        <v>17</v>
      </c>
      <c r="C192" s="2" t="s">
        <v>18</v>
      </c>
      <c r="D192" s="8" t="s">
        <v>133</v>
      </c>
      <c r="E192" s="8" t="s">
        <v>134</v>
      </c>
      <c r="F192" s="9">
        <v>45992</v>
      </c>
      <c r="G192" s="9"/>
      <c r="H192" s="8"/>
      <c r="I192" s="8" t="s">
        <v>142</v>
      </c>
      <c r="J192" s="31" t="str">
        <f>IFERROR(VLOOKUP(MUESTREO_LABORAL_A2[[#This Row],[ACTIVIDAD]],'Lista Maestra'!$D$6:$F$190,3,0),"")</f>
        <v>LIQUIDACIÓN</v>
      </c>
      <c r="K192" s="31" t="str">
        <f>IFERROR(VLOOKUP(MUESTREO_LABORAL_A2[[#This Row],[ACTIVIDAD]],'Lista Maestra'!$D$6:$F$190,2,0),"")</f>
        <v>ACTUALMENTE DE IMPORTA (ETIQUETAS, GAVETAS IFCO Y ALDIS) EL PROCESE ES BAJAR EL MAYOR DE LA CUENTA DE IMPORTACIONES EN TRÁNSITO Y SE REVISA LA LIQUIDACION ENVIADA POR COMEX DONDE SE PROCEDE CON LA REVISIÓN DE TODOS LOS COSTOS ASOCIADOS ENTEN REGISTRADOS CORRECTAMENTE YA QUE HAY CASOS QUE NO ESTAN Y SE PROCEDE A RECLASIFICAR, POSTERIOR SE HACE LA REVALORIZACIÓN EN SAP DEL ARTÍCULO Y TAMBIEN EL ASIENTO DANDO DE BAJA LA CUENTA. FINALMENTE ESTA LA CUENTA DEBEN DE QUEDAR UNICAMENTE LOS COSTOS DE LAS IMPORTACIONES PRÓXIMAS A LLEGAR.</v>
      </c>
      <c r="L192" s="8" t="s">
        <v>22</v>
      </c>
      <c r="M192" s="8"/>
      <c r="N192" s="10">
        <v>0.66388888888888886</v>
      </c>
      <c r="O192" s="10">
        <v>0.70833333333333337</v>
      </c>
      <c r="P192" s="7">
        <f>IF(MUESTREO_LABORAL_A2[[#This Row],[TIEMPO INICIO]]="","",(MUESTREO_LABORAL_A2[[#This Row],[TIEMPO FIN]]-MUESTREO_LABORAL_A2[[#This Row],[TIEMPO INICIO]])*24)</f>
        <v>1.0666666666666682</v>
      </c>
      <c r="Q192" s="12"/>
      <c r="R192" s="12"/>
    </row>
    <row r="193" spans="2:18" ht="28.95" customHeight="1" x14ac:dyDescent="0.3">
      <c r="B193" s="2" t="s">
        <v>17</v>
      </c>
      <c r="C193" s="2" t="s">
        <v>18</v>
      </c>
      <c r="D193" s="8" t="s">
        <v>133</v>
      </c>
      <c r="E193" s="8" t="s">
        <v>134</v>
      </c>
      <c r="F193" s="9">
        <v>45993</v>
      </c>
      <c r="G193" s="9"/>
      <c r="H193" s="8"/>
      <c r="I193" s="8" t="s">
        <v>140</v>
      </c>
      <c r="J193" s="31" t="str">
        <f>IFERROR(VLOOKUP(MUESTREO_LABORAL_A2[[#This Row],[ACTIVIDAD]],'Lista Maestra'!$D$6:$F$190,3,0),"")</f>
        <v>GESTIÓN DOCUMENTAL</v>
      </c>
      <c r="K193" s="31" t="str">
        <f>IFERROR(VLOOKUP(MUESTREO_LABORAL_A2[[#This Row],[ACTIVIDAD]],'Lista Maestra'!$D$6:$F$190,2,0),"")</f>
        <v>LLEVO UN CONTROL DEL STOCK DE LAS GUIAS, CUANDO YA QUEDA POCO SOLICITO A LA IMPRENTA LA CANTIDAD NECESARIA PARA UNOS TRES MESES PROMEDIO DE CADA PUNTO DE EMISIÓN.</v>
      </c>
      <c r="L193" s="8" t="s">
        <v>22</v>
      </c>
      <c r="M193" s="8"/>
      <c r="N193" s="10">
        <v>0.37083333333333329</v>
      </c>
      <c r="O193" s="10">
        <v>0.39374999999999999</v>
      </c>
      <c r="P193" s="7">
        <f>IF(MUESTREO_LABORAL_A2[[#This Row],[TIEMPO INICIO]]="","",(MUESTREO_LABORAL_A2[[#This Row],[TIEMPO FIN]]-MUESTREO_LABORAL_A2[[#This Row],[TIEMPO INICIO]])*24)</f>
        <v>0.55000000000000071</v>
      </c>
      <c r="Q193" s="12"/>
      <c r="R193" s="12"/>
    </row>
    <row r="194" spans="2:18" ht="41.4" customHeight="1" x14ac:dyDescent="0.3">
      <c r="B194" s="2" t="s">
        <v>17</v>
      </c>
      <c r="C194" s="2" t="s">
        <v>18</v>
      </c>
      <c r="D194" s="8" t="s">
        <v>133</v>
      </c>
      <c r="E194" s="8" t="s">
        <v>134</v>
      </c>
      <c r="F194" s="9">
        <v>45993</v>
      </c>
      <c r="G194" s="9"/>
      <c r="H194" s="8"/>
      <c r="I194" s="8" t="s">
        <v>142</v>
      </c>
      <c r="J194" s="31" t="str">
        <f>IFERROR(VLOOKUP(MUESTREO_LABORAL_A2[[#This Row],[ACTIVIDAD]],'Lista Maestra'!$D$6:$F$190,3,0),"")</f>
        <v>LIQUIDACIÓN</v>
      </c>
      <c r="K194" s="31" t="str">
        <f>IFERROR(VLOOKUP(MUESTREO_LABORAL_A2[[#This Row],[ACTIVIDAD]],'Lista Maestra'!$D$6:$F$190,2,0),"")</f>
        <v>ACTUALMENTE DE IMPORTA (ETIQUETAS, GAVETAS IFCO Y ALDIS) EL PROCESE ES BAJAR EL MAYOR DE LA CUENTA DE IMPORTACIONES EN TRÁNSITO Y SE REVISA LA LIQUIDACION ENVIADA POR COMEX DONDE SE PROCEDE CON LA REVISIÓN DE TODOS LOS COSTOS ASOCIADOS ENTEN REGISTRADOS CORRECTAMENTE YA QUE HAY CASOS QUE NO ESTAN Y SE PROCEDE A RECLASIFICAR, POSTERIOR SE HACE LA REVALORIZACIÓN EN SAP DEL ARTÍCULO Y TAMBIEN EL ASIENTO DANDO DE BAJA LA CUENTA. FINALMENTE ESTA LA CUENTA DEBEN DE QUEDAR UNICAMENTE LOS COSTOS DE LAS IMPORTACIONES PRÓXIMAS A LLEGAR.</v>
      </c>
      <c r="L194" s="8" t="s">
        <v>22</v>
      </c>
      <c r="M194" s="8"/>
      <c r="N194" s="10">
        <v>0.3972222222222222</v>
      </c>
      <c r="O194" s="10">
        <v>0.46388888888888891</v>
      </c>
      <c r="P194" s="7">
        <f>IF(MUESTREO_LABORAL_A2[[#This Row],[TIEMPO INICIO]]="","",(MUESTREO_LABORAL_A2[[#This Row],[TIEMPO FIN]]-MUESTREO_LABORAL_A2[[#This Row],[TIEMPO INICIO]])*24)</f>
        <v>1.600000000000001</v>
      </c>
      <c r="Q194" s="12" t="s">
        <v>143</v>
      </c>
      <c r="R194" s="12"/>
    </row>
    <row r="195" spans="2:18" ht="28.95" customHeight="1" x14ac:dyDescent="0.3">
      <c r="B195" s="2" t="s">
        <v>17</v>
      </c>
      <c r="C195" s="2" t="s">
        <v>18</v>
      </c>
      <c r="D195" s="8" t="s">
        <v>133</v>
      </c>
      <c r="E195" s="8" t="s">
        <v>134</v>
      </c>
      <c r="F195" s="9">
        <v>45993</v>
      </c>
      <c r="G195" s="9"/>
      <c r="H195" s="8"/>
      <c r="I195" s="8" t="s">
        <v>144</v>
      </c>
      <c r="J195" s="31" t="str">
        <f>IFERROR(VLOOKUP(MUESTREO_LABORAL_A2[[#This Row],[ACTIVIDAD]],'Lista Maestra'!$D$6:$F$190,3,0),"")</f>
        <v>GESTIÓN DOCUMENTAL</v>
      </c>
      <c r="K195" s="31" t="str">
        <f>IFERROR(VLOOKUP(MUESTREO_LABORAL_A2[[#This Row],[ACTIVIDAD]],'Lista Maestra'!$D$6:$F$190,2,0),"")</f>
        <v>CORRESPONDE AL REGSITRO DE ASIENTO DE DIARIO PARA CORRECCIONES DE CUENTAS MAL APLICADAS AUTORIZADA POR EL CONTADOR/CONTADOR GENERAL</v>
      </c>
      <c r="L195" s="8" t="s">
        <v>22</v>
      </c>
      <c r="M195" s="8"/>
      <c r="N195" s="10">
        <v>0.41388888888888892</v>
      </c>
      <c r="O195" s="10">
        <v>0.46388888888888891</v>
      </c>
      <c r="P195" s="7">
        <f>IF(MUESTREO_LABORAL_A2[[#This Row],[TIEMPO INICIO]]="","",(MUESTREO_LABORAL_A2[[#This Row],[TIEMPO FIN]]-MUESTREO_LABORAL_A2[[#This Row],[TIEMPO INICIO]])*24)</f>
        <v>1.1999999999999997</v>
      </c>
      <c r="Q195" s="12"/>
      <c r="R195" s="12"/>
    </row>
    <row r="196" spans="2:18" ht="28.95" customHeight="1" x14ac:dyDescent="0.3">
      <c r="B196" s="2" t="s">
        <v>17</v>
      </c>
      <c r="C196" s="2" t="s">
        <v>18</v>
      </c>
      <c r="D196" s="8" t="s">
        <v>133</v>
      </c>
      <c r="E196" s="8" t="s">
        <v>134</v>
      </c>
      <c r="F196" s="9">
        <v>45993</v>
      </c>
      <c r="G196" s="9"/>
      <c r="H196" s="8"/>
      <c r="I196" s="8" t="s">
        <v>145</v>
      </c>
      <c r="J196" s="31" t="str">
        <f>IFERROR(VLOOKUP(MUESTREO_LABORAL_A2[[#This Row],[ACTIVIDAD]],'Lista Maestra'!$D$6:$F$190,3,0),"")</f>
        <v>GESTIÓN DOCUMENTAL</v>
      </c>
      <c r="K196" s="31" t="str">
        <f>IFERROR(VLOOKUP(MUESTREO_LABORAL_A2[[#This Row],[ACTIVIDAD]],'Lista Maestra'!$D$6:$F$190,2,0),"")</f>
        <v>SE REALIZA LA BAJA CON NOTA DE CREDITO INTERNA PROVEEDOR PRATT, HACIENDO UNA REVISIÓN DEL STOCK UTILIZADO DEL INVENTARIO POR LO CUAL SE PROCEDE A REVISAR EL KARDEX</v>
      </c>
      <c r="L196" s="8" t="s">
        <v>22</v>
      </c>
      <c r="M196" s="8"/>
      <c r="N196" s="10">
        <v>0.46944444444444439</v>
      </c>
      <c r="O196" s="10">
        <v>0.50069444444444444</v>
      </c>
      <c r="P196" s="7">
        <f>IF(MUESTREO_LABORAL_A2[[#This Row],[TIEMPO INICIO]]="","",(MUESTREO_LABORAL_A2[[#This Row],[TIEMPO FIN]]-MUESTREO_LABORAL_A2[[#This Row],[TIEMPO INICIO]])*24)</f>
        <v>0.75000000000000133</v>
      </c>
      <c r="Q196" s="12"/>
      <c r="R196" s="12"/>
    </row>
    <row r="197" spans="2:18" ht="28.95" customHeight="1" x14ac:dyDescent="0.3">
      <c r="B197" s="2" t="s">
        <v>17</v>
      </c>
      <c r="C197" s="2" t="s">
        <v>18</v>
      </c>
      <c r="D197" s="8" t="s">
        <v>133</v>
      </c>
      <c r="E197" s="8" t="s">
        <v>134</v>
      </c>
      <c r="F197" s="9">
        <v>45993</v>
      </c>
      <c r="G197" s="9"/>
      <c r="H197" s="8"/>
      <c r="I197" s="8" t="s">
        <v>138</v>
      </c>
      <c r="J197" s="31" t="str">
        <f>IFERROR(VLOOKUP(MUESTREO_LABORAL_A2[[#This Row],[ACTIVIDAD]],'Lista Maestra'!$D$6:$F$190,3,0),"")</f>
        <v>DEVOLUCIONES IVA</v>
      </c>
      <c r="K197" s="31" t="str">
        <f>IFERROR(VLOOKUP(MUESTREO_LABORAL_A2[[#This Row],[ACTIVIDAD]],'Lista Maestra'!$D$6:$F$190,2,0),"")</f>
        <v>SCANNER DE LAS DEVOLUCIONES DE IVA EXPORTADOR DE TSER.</v>
      </c>
      <c r="L197" s="8" t="s">
        <v>22</v>
      </c>
      <c r="M197" s="8"/>
      <c r="N197" s="10">
        <v>0.50972222222222219</v>
      </c>
      <c r="O197" s="10">
        <v>0.52500000000000002</v>
      </c>
      <c r="P197" s="7">
        <f>IF(MUESTREO_LABORAL_A2[[#This Row],[TIEMPO INICIO]]="","",(MUESTREO_LABORAL_A2[[#This Row],[TIEMPO FIN]]-MUESTREO_LABORAL_A2[[#This Row],[TIEMPO INICIO]])*24)</f>
        <v>0.36666666666666803</v>
      </c>
      <c r="Q197" s="12" t="s">
        <v>146</v>
      </c>
      <c r="R197" s="12"/>
    </row>
    <row r="198" spans="2:18" ht="28.95" customHeight="1" x14ac:dyDescent="0.3">
      <c r="B198" s="2" t="s">
        <v>17</v>
      </c>
      <c r="C198" s="2" t="s">
        <v>18</v>
      </c>
      <c r="D198" s="8" t="s">
        <v>133</v>
      </c>
      <c r="E198" s="8" t="s">
        <v>134</v>
      </c>
      <c r="F198" s="9">
        <v>45993</v>
      </c>
      <c r="G198" s="9"/>
      <c r="H198" s="8"/>
      <c r="I198" s="8" t="s">
        <v>33</v>
      </c>
      <c r="J198" s="31" t="str">
        <f>IFERROR(VLOOKUP(MUESTREO_LABORAL_A2[[#This Row],[ACTIVIDAD]],'Lista Maestra'!$D$6:$F$190,3,0),"")</f>
        <v>ALIMENTACIÓN</v>
      </c>
      <c r="K198" s="31" t="str">
        <f>IFERROR(VLOOKUP(MUESTREO_LABORAL_A2[[#This Row],[ACTIVIDAD]],'Lista Maestra'!$D$6:$F$190,2,0),"")</f>
        <v>ALIMENTARSE</v>
      </c>
      <c r="L198" s="8" t="s">
        <v>33</v>
      </c>
      <c r="M198" s="8"/>
      <c r="N198" s="10">
        <v>0.52500000000000002</v>
      </c>
      <c r="O198" s="10">
        <v>0.5625</v>
      </c>
      <c r="P198" s="7">
        <f>IF(MUESTREO_LABORAL_A2[[#This Row],[TIEMPO INICIO]]="","",(MUESTREO_LABORAL_A2[[#This Row],[TIEMPO FIN]]-MUESTREO_LABORAL_A2[[#This Row],[TIEMPO INICIO]])*24)</f>
        <v>0.89999999999999947</v>
      </c>
      <c r="Q198" s="12"/>
      <c r="R198" s="12"/>
    </row>
    <row r="199" spans="2:18" ht="28.95" customHeight="1" x14ac:dyDescent="0.3">
      <c r="B199" s="2" t="s">
        <v>17</v>
      </c>
      <c r="C199" s="2" t="s">
        <v>18</v>
      </c>
      <c r="D199" s="8" t="s">
        <v>133</v>
      </c>
      <c r="E199" s="8" t="s">
        <v>134</v>
      </c>
      <c r="F199" s="9">
        <v>45993</v>
      </c>
      <c r="G199" s="9"/>
      <c r="H199" s="8"/>
      <c r="I199" s="8" t="s">
        <v>138</v>
      </c>
      <c r="J199" s="31" t="str">
        <f>IFERROR(VLOOKUP(MUESTREO_LABORAL_A2[[#This Row],[ACTIVIDAD]],'Lista Maestra'!$D$6:$F$190,3,0),"")</f>
        <v>DEVOLUCIONES IVA</v>
      </c>
      <c r="K199" s="31" t="str">
        <f>IFERROR(VLOOKUP(MUESTREO_LABORAL_A2[[#This Row],[ACTIVIDAD]],'Lista Maestra'!$D$6:$F$190,2,0),"")</f>
        <v>SCANNER DE LAS DEVOLUCIONES DE IVA EXPORTADOR DE TSER.</v>
      </c>
      <c r="L199" s="8" t="s">
        <v>22</v>
      </c>
      <c r="M199" s="8"/>
      <c r="N199" s="10">
        <v>0.5625</v>
      </c>
      <c r="O199" s="10">
        <v>0.6381944444444444</v>
      </c>
      <c r="P199" s="7">
        <f>IF(MUESTREO_LABORAL_A2[[#This Row],[TIEMPO INICIO]]="","",(MUESTREO_LABORAL_A2[[#This Row],[TIEMPO FIN]]-MUESTREO_LABORAL_A2[[#This Row],[TIEMPO INICIO]])*24)</f>
        <v>1.8166666666666655</v>
      </c>
      <c r="Q199" s="12"/>
      <c r="R199" s="12"/>
    </row>
    <row r="200" spans="2:18" ht="28.95" customHeight="1" x14ac:dyDescent="0.3">
      <c r="B200" s="2" t="s">
        <v>17</v>
      </c>
      <c r="C200" s="2" t="s">
        <v>18</v>
      </c>
      <c r="D200" s="8" t="s">
        <v>133</v>
      </c>
      <c r="E200" s="8" t="s">
        <v>134</v>
      </c>
      <c r="F200" s="9">
        <v>45993</v>
      </c>
      <c r="G200" s="9"/>
      <c r="H200" s="8"/>
      <c r="I200" s="8" t="s">
        <v>147</v>
      </c>
      <c r="J200" s="31" t="str">
        <f>IFERROR(VLOOKUP(MUESTREO_LABORAL_A2[[#This Row],[ACTIVIDAD]],'Lista Maestra'!$D$6:$F$190,3,0),"")</f>
        <v>CONCILIACIÓN</v>
      </c>
      <c r="K200" s="31" t="str">
        <f>IFERROR(VLOOKUP(MUESTREO_LABORAL_A2[[#This Row],[ACTIVIDAD]],'Lista Maestra'!$D$6:$F$190,2,0),"")</f>
        <v>CONSISTE EN REVISAR POSTERIOR A LA CONTABILIZACIÓN DE LA NÓMINA LOS SALDOS VS EL PROYECTADO DE ACTUARIA, EN CASO DE EXISTIR DIFERENCIA SE REALIZA EL DIARIO DE AJUSTE.</v>
      </c>
      <c r="L200" s="8" t="s">
        <v>22</v>
      </c>
      <c r="M200" s="8"/>
      <c r="N200" s="10">
        <v>0.64513888888888893</v>
      </c>
      <c r="O200" s="10">
        <v>0.66597222222222219</v>
      </c>
      <c r="P200" s="7">
        <f>IF(MUESTREO_LABORAL_A2[[#This Row],[TIEMPO INICIO]]="","",(MUESTREO_LABORAL_A2[[#This Row],[TIEMPO FIN]]-MUESTREO_LABORAL_A2[[#This Row],[TIEMPO INICIO]])*24)</f>
        <v>0.49999999999999822</v>
      </c>
      <c r="Q200" s="12"/>
      <c r="R200" s="12"/>
    </row>
    <row r="201" spans="2:18" ht="57.6" customHeight="1" x14ac:dyDescent="0.3">
      <c r="B201" s="2" t="s">
        <v>17</v>
      </c>
      <c r="C201" s="2" t="s">
        <v>18</v>
      </c>
      <c r="D201" s="8" t="s">
        <v>133</v>
      </c>
      <c r="E201" s="8" t="s">
        <v>134</v>
      </c>
      <c r="F201" s="9">
        <v>45994</v>
      </c>
      <c r="G201" s="9"/>
      <c r="H201" s="8"/>
      <c r="I201" s="8" t="s">
        <v>148</v>
      </c>
      <c r="J201" s="31" t="str">
        <f>IFERROR(VLOOKUP(MUESTREO_LABORAL_A2[[#This Row],[ACTIVIDAD]],'Lista Maestra'!$D$6:$F$190,3,0),"")</f>
        <v>GESTIÓN DOCUMENTAL</v>
      </c>
      <c r="K201" s="31" t="str">
        <f>IFERROR(VLOOKUP(MUESTREO_LABORAL_A2[[#This Row],[ACTIVIDAD]],'Lista Maestra'!$D$6:$F$190,2,0),"")</f>
        <v>EL CONTADOR ME ENVÍA EL ARCHIVO PARA LA CONTABILIZACIÓN Y PROCEDO ARMAR LAS PLANTILLAS DE CABECERA Y DETALLES EN EXCEL PARA LUEGO CARGARLO EN SAP POR MEDIO DE DATA TRANSFER WORKBENCH</v>
      </c>
      <c r="L201" s="8" t="s">
        <v>22</v>
      </c>
      <c r="M201" s="8"/>
      <c r="N201" s="10">
        <v>0.35972222222222222</v>
      </c>
      <c r="O201" s="10">
        <v>0.38541666666666669</v>
      </c>
      <c r="P201" s="7">
        <f>IF(MUESTREO_LABORAL_A2[[#This Row],[TIEMPO INICIO]]="","",(MUESTREO_LABORAL_A2[[#This Row],[TIEMPO FIN]]-MUESTREO_LABORAL_A2[[#This Row],[TIEMPO INICIO]])*24)</f>
        <v>0.61666666666666714</v>
      </c>
      <c r="Q201" s="12" t="s">
        <v>149</v>
      </c>
      <c r="R201" s="12"/>
    </row>
    <row r="202" spans="2:18" ht="28.95" customHeight="1" x14ac:dyDescent="0.3">
      <c r="B202" s="2" t="s">
        <v>17</v>
      </c>
      <c r="C202" s="2" t="s">
        <v>18</v>
      </c>
      <c r="D202" s="8" t="s">
        <v>133</v>
      </c>
      <c r="E202" s="8" t="s">
        <v>134</v>
      </c>
      <c r="F202" s="9">
        <v>45994</v>
      </c>
      <c r="G202" s="9"/>
      <c r="H202" s="8"/>
      <c r="I202" s="8" t="s">
        <v>144</v>
      </c>
      <c r="J202" s="31" t="str">
        <f>IFERROR(VLOOKUP(MUESTREO_LABORAL_A2[[#This Row],[ACTIVIDAD]],'Lista Maestra'!$D$6:$F$190,3,0),"")</f>
        <v>GESTIÓN DOCUMENTAL</v>
      </c>
      <c r="K202" s="31" t="str">
        <f>IFERROR(VLOOKUP(MUESTREO_LABORAL_A2[[#This Row],[ACTIVIDAD]],'Lista Maestra'!$D$6:$F$190,2,0),"")</f>
        <v>CORRESPONDE AL REGSITRO DE ASIENTO DE DIARIO PARA CORRECCIONES DE CUENTAS MAL APLICADAS AUTORIZADA POR EL CONTADOR/CONTADOR GENERAL</v>
      </c>
      <c r="L202" s="8" t="s">
        <v>22</v>
      </c>
      <c r="M202" s="8"/>
      <c r="N202" s="10">
        <v>0.3888888888888889</v>
      </c>
      <c r="O202" s="10">
        <v>0.39374999999999999</v>
      </c>
      <c r="P202" s="7">
        <f>IF(MUESTREO_LABORAL_A2[[#This Row],[TIEMPO INICIO]]="","",(MUESTREO_LABORAL_A2[[#This Row],[TIEMPO FIN]]-MUESTREO_LABORAL_A2[[#This Row],[TIEMPO INICIO]])*24)</f>
        <v>0.11666666666666625</v>
      </c>
      <c r="Q202" s="12" t="s">
        <v>150</v>
      </c>
      <c r="R202" s="12"/>
    </row>
    <row r="203" spans="2:18" ht="28.95" customHeight="1" x14ac:dyDescent="0.3">
      <c r="B203" s="2" t="s">
        <v>17</v>
      </c>
      <c r="C203" s="2" t="s">
        <v>18</v>
      </c>
      <c r="D203" s="8" t="s">
        <v>133</v>
      </c>
      <c r="E203" s="8" t="s">
        <v>134</v>
      </c>
      <c r="F203" s="9">
        <v>45994</v>
      </c>
      <c r="G203" s="9"/>
      <c r="H203" s="8"/>
      <c r="I203" s="8" t="s">
        <v>151</v>
      </c>
      <c r="J203" s="31" t="str">
        <f>IFERROR(VLOOKUP(MUESTREO_LABORAL_A2[[#This Row],[ACTIVIDAD]],'Lista Maestra'!$D$6:$F$190,3,0),"")</f>
        <v>CONCILIACIÓN</v>
      </c>
      <c r="K203" s="31" t="str">
        <f>IFERROR(VLOOKUP(MUESTREO_LABORAL_A2[[#This Row],[ACTIVIDAD]],'Lista Maestra'!$D$6:$F$190,2,0),"")</f>
        <v xml:space="preserve"> TIENE COMO FINALIZADAD CUADRAR LOS SALDOS ENTRE CIAS LO CUAL EN SAP SE BAJA EL REPORTE  CONCILIACIÓN RELACIONADAS DETALLE EN LAS EMPRESAS TFE/TSER/MLC DONDE SE HACE EL ANÁLISIS Y REVISION DE LAS CXP Y CXC  MODULOS Y NO MODULOS. CADA CONTADOR ES ENCARGADO DE ENVIAR SUS SALDOS DE LAS CIA A CARGO PARA PROCEDER ACTUALIZAR EN LA PLANTILLA </v>
      </c>
      <c r="L203" s="8" t="s">
        <v>22</v>
      </c>
      <c r="M203" s="8"/>
      <c r="N203" s="10">
        <v>0.40208333333333329</v>
      </c>
      <c r="O203" s="10">
        <v>0.42916666666666659</v>
      </c>
      <c r="P203" s="7">
        <f>IF(MUESTREO_LABORAL_A2[[#This Row],[TIEMPO INICIO]]="","",(MUESTREO_LABORAL_A2[[#This Row],[TIEMPO FIN]]-MUESTREO_LABORAL_A2[[#This Row],[TIEMPO INICIO]])*24)</f>
        <v>0.64999999999999902</v>
      </c>
      <c r="Q203" s="12" t="s">
        <v>152</v>
      </c>
      <c r="R203" s="12"/>
    </row>
    <row r="204" spans="2:18" ht="28.95" customHeight="1" x14ac:dyDescent="0.3">
      <c r="B204" s="2" t="s">
        <v>17</v>
      </c>
      <c r="C204" s="2" t="s">
        <v>18</v>
      </c>
      <c r="D204" s="8" t="s">
        <v>133</v>
      </c>
      <c r="E204" s="8" t="s">
        <v>134</v>
      </c>
      <c r="F204" s="9">
        <v>45994</v>
      </c>
      <c r="G204" s="9"/>
      <c r="H204" s="8"/>
      <c r="I204" s="8" t="s">
        <v>153</v>
      </c>
      <c r="J204" s="31" t="str">
        <f>IFERROR(VLOOKUP(MUESTREO_LABORAL_A2[[#This Row],[ACTIVIDAD]],'Lista Maestra'!$D$6:$F$190,3,0),"")</f>
        <v>ANÁLISIS Y CRITERIO INGENIERIL</v>
      </c>
      <c r="K204" s="31">
        <f>IFERROR(VLOOKUP(MUESTREO_LABORAL_A2[[#This Row],[ACTIVIDAD]],'Lista Maestra'!$D$6:$F$190,2,0),"")</f>
        <v>0</v>
      </c>
      <c r="L204" s="8" t="s">
        <v>22</v>
      </c>
      <c r="M204" s="8"/>
      <c r="N204" s="10">
        <v>0.43402777777777779</v>
      </c>
      <c r="O204" s="10">
        <v>0.44305555555555548</v>
      </c>
      <c r="P204" s="7">
        <f>IF(MUESTREO_LABORAL_A2[[#This Row],[TIEMPO INICIO]]="","",(MUESTREO_LABORAL_A2[[#This Row],[TIEMPO FIN]]-MUESTREO_LABORAL_A2[[#This Row],[TIEMPO INICIO]])*24)</f>
        <v>0.21666666666666456</v>
      </c>
      <c r="Q204" s="12"/>
      <c r="R204" s="12"/>
    </row>
    <row r="205" spans="2:18" ht="28.95" customHeight="1" x14ac:dyDescent="0.3">
      <c r="B205" s="2" t="s">
        <v>17</v>
      </c>
      <c r="C205" s="2" t="s">
        <v>18</v>
      </c>
      <c r="D205" s="8" t="s">
        <v>133</v>
      </c>
      <c r="E205" s="8" t="s">
        <v>134</v>
      </c>
      <c r="F205" s="9">
        <v>45994</v>
      </c>
      <c r="G205" s="9"/>
      <c r="H205" s="8"/>
      <c r="I205" s="8" t="s">
        <v>148</v>
      </c>
      <c r="J205" s="31" t="str">
        <f>IFERROR(VLOOKUP(MUESTREO_LABORAL_A2[[#This Row],[ACTIVIDAD]],'Lista Maestra'!$D$6:$F$190,3,0),"")</f>
        <v>GESTIÓN DOCUMENTAL</v>
      </c>
      <c r="K205" s="31" t="str">
        <f>IFERROR(VLOOKUP(MUESTREO_LABORAL_A2[[#This Row],[ACTIVIDAD]],'Lista Maestra'!$D$6:$F$190,2,0),"")</f>
        <v>EL CONTADOR ME ENVÍA EL ARCHIVO PARA LA CONTABILIZACIÓN Y PROCEDO ARMAR LAS PLANTILLAS DE CABECERA Y DETALLES EN EXCEL PARA LUEGO CARGARLO EN SAP POR MEDIO DE DATA TRANSFER WORKBENCH</v>
      </c>
      <c r="L205" s="8" t="s">
        <v>22</v>
      </c>
      <c r="M205" s="8"/>
      <c r="N205" s="10">
        <v>0.44305555555555548</v>
      </c>
      <c r="O205" s="10">
        <v>0.46180555555555558</v>
      </c>
      <c r="P205" s="7">
        <f>IF(MUESTREO_LABORAL_A2[[#This Row],[TIEMPO INICIO]]="","",(MUESTREO_LABORAL_A2[[#This Row],[TIEMPO FIN]]-MUESTREO_LABORAL_A2[[#This Row],[TIEMPO INICIO]])*24)</f>
        <v>0.4500000000000024</v>
      </c>
      <c r="Q205" s="12"/>
      <c r="R205" s="12"/>
    </row>
    <row r="206" spans="2:18" ht="28.95" customHeight="1" x14ac:dyDescent="0.3">
      <c r="B206" s="2" t="s">
        <v>17</v>
      </c>
      <c r="C206" s="2" t="s">
        <v>18</v>
      </c>
      <c r="D206" s="8" t="s">
        <v>133</v>
      </c>
      <c r="E206" s="8" t="s">
        <v>134</v>
      </c>
      <c r="F206" s="9">
        <v>45994</v>
      </c>
      <c r="G206" s="9"/>
      <c r="H206" s="8"/>
      <c r="I206" s="8" t="s">
        <v>154</v>
      </c>
      <c r="J206" s="31" t="str">
        <f>IFERROR(VLOOKUP(MUESTREO_LABORAL_A2[[#This Row],[ACTIVIDAD]],'Lista Maestra'!$D$6:$F$190,3,0),"")</f>
        <v>CONCILIACIÓN</v>
      </c>
      <c r="K206" s="31" t="str">
        <f>IFERROR(VLOOKUP(MUESTREO_LABORAL_A2[[#This Row],[ACTIVIDAD]],'Lista Maestra'!$D$6:$F$190,2,0),"")</f>
        <v>SEGMENTACIÓN POR FRUTA Y MATERIALES SE PROCEDE A BAJAR DE SAP EL QUERY MOVIMIENTO DE OF DONDE ESTÁ TODO LA INFORMACIÓN DE  ENTRADA; DEVOLUCIÓN; ENTREGA; EMISIÓN; RECIBO; FACTURA EN DONDE LOS DOCUMENTOS DE EMISIÓN GENERADOS POR LOS CONSUMOS  SE REVISAN CON EL MAYOR CON LOS COSTOS DE EXPORTACION LUEGO DEL RESPECTIVO CUADRE SE PROCEDE HACER EL DIARIO EN SAP</v>
      </c>
      <c r="L206" s="8" t="s">
        <v>22</v>
      </c>
      <c r="M206" s="8"/>
      <c r="N206" s="10">
        <v>0.46944444444444439</v>
      </c>
      <c r="O206" s="10">
        <v>0.52916666666666667</v>
      </c>
      <c r="P206" s="7">
        <f>IF(MUESTREO_LABORAL_A2[[#This Row],[TIEMPO INICIO]]="","",(MUESTREO_LABORAL_A2[[#This Row],[TIEMPO FIN]]-MUESTREO_LABORAL_A2[[#This Row],[TIEMPO INICIO]])*24)</f>
        <v>1.4333333333333349</v>
      </c>
      <c r="Q206" s="12"/>
      <c r="R206" s="12"/>
    </row>
    <row r="207" spans="2:18" ht="28.95" customHeight="1" x14ac:dyDescent="0.3">
      <c r="B207" s="2" t="s">
        <v>17</v>
      </c>
      <c r="C207" s="2" t="s">
        <v>18</v>
      </c>
      <c r="D207" s="8" t="s">
        <v>133</v>
      </c>
      <c r="E207" s="8" t="s">
        <v>134</v>
      </c>
      <c r="F207" s="9">
        <v>45994</v>
      </c>
      <c r="G207" s="9"/>
      <c r="H207" s="8"/>
      <c r="I207" s="8" t="s">
        <v>144</v>
      </c>
      <c r="J207" s="31" t="str">
        <f>IFERROR(VLOOKUP(MUESTREO_LABORAL_A2[[#This Row],[ACTIVIDAD]],'Lista Maestra'!$D$6:$F$190,3,0),"")</f>
        <v>GESTIÓN DOCUMENTAL</v>
      </c>
      <c r="K207" s="31" t="str">
        <f>IFERROR(VLOOKUP(MUESTREO_LABORAL_A2[[#This Row],[ACTIVIDAD]],'Lista Maestra'!$D$6:$F$190,2,0),"")</f>
        <v>CORRESPONDE AL REGSITRO DE ASIENTO DE DIARIO PARA CORRECCIONES DE CUENTAS MAL APLICADAS AUTORIZADA POR EL CONTADOR/CONTADOR GENERAL</v>
      </c>
      <c r="L207" s="8" t="s">
        <v>22</v>
      </c>
      <c r="M207" s="8"/>
      <c r="N207" s="10">
        <v>0.49930555555555561</v>
      </c>
      <c r="O207" s="10">
        <v>0.50347222222222221</v>
      </c>
      <c r="P207" s="7">
        <f>IF(MUESTREO_LABORAL_A2[[#This Row],[TIEMPO INICIO]]="","",(MUESTREO_LABORAL_A2[[#This Row],[TIEMPO FIN]]-MUESTREO_LABORAL_A2[[#This Row],[TIEMPO INICIO]])*24)</f>
        <v>9.9999999999998312E-2</v>
      </c>
      <c r="Q207" s="12"/>
      <c r="R207" s="12"/>
    </row>
    <row r="208" spans="2:18" ht="28.95" customHeight="1" x14ac:dyDescent="0.3">
      <c r="B208" s="2" t="s">
        <v>17</v>
      </c>
      <c r="C208" s="2" t="s">
        <v>18</v>
      </c>
      <c r="D208" s="8" t="s">
        <v>133</v>
      </c>
      <c r="E208" s="8" t="s">
        <v>134</v>
      </c>
      <c r="F208" s="9">
        <v>45994</v>
      </c>
      <c r="G208" s="9"/>
      <c r="H208" s="8"/>
      <c r="I208" s="8" t="s">
        <v>155</v>
      </c>
      <c r="J208" s="31" t="str">
        <f>IFERROR(VLOOKUP(MUESTREO_LABORAL_A2[[#This Row],[ACTIVIDAD]],'Lista Maestra'!$D$6:$F$190,3,0),"")</f>
        <v>GESTIÓN DOCUMENTAL</v>
      </c>
      <c r="K208" s="31" t="str">
        <f>IFERROR(VLOOKUP(MUESTREO_LABORAL_A2[[#This Row],[ACTIVIDAD]],'Lista Maestra'!$D$6:$F$190,2,0),"")</f>
        <v xml:space="preserve"> EL CONTADOR NOS ASIGNÓ CUENTAS PARA EL RESPECTIVO ANÁLISIS EL CUAL TENEMOS QUE COLOCAR LA INFORMACIÓN EN LA RUTA DE GERENTE FINANCIERO.</v>
      </c>
      <c r="L208" s="8" t="s">
        <v>22</v>
      </c>
      <c r="M208" s="8"/>
      <c r="N208" s="10">
        <v>0.52986111111111112</v>
      </c>
      <c r="O208" s="10">
        <v>0.5395833333333333</v>
      </c>
      <c r="P208" s="7">
        <f>IF(MUESTREO_LABORAL_A2[[#This Row],[TIEMPO INICIO]]="","",(MUESTREO_LABORAL_A2[[#This Row],[TIEMPO FIN]]-MUESTREO_LABORAL_A2[[#This Row],[TIEMPO INICIO]])*24)</f>
        <v>0.2333333333333325</v>
      </c>
      <c r="Q208" s="12"/>
      <c r="R208" s="12"/>
    </row>
    <row r="209" spans="2:18" ht="28.95" customHeight="1" x14ac:dyDescent="0.3">
      <c r="B209" s="2" t="s">
        <v>17</v>
      </c>
      <c r="C209" s="2" t="s">
        <v>18</v>
      </c>
      <c r="D209" s="8" t="s">
        <v>133</v>
      </c>
      <c r="E209" s="8" t="s">
        <v>134</v>
      </c>
      <c r="F209" s="9">
        <v>45994</v>
      </c>
      <c r="G209" s="9"/>
      <c r="H209" s="8"/>
      <c r="I209" s="8" t="s">
        <v>33</v>
      </c>
      <c r="J209" s="31" t="str">
        <f>IFERROR(VLOOKUP(MUESTREO_LABORAL_A2[[#This Row],[ACTIVIDAD]],'Lista Maestra'!$D$6:$F$190,3,0),"")</f>
        <v>ALIMENTACIÓN</v>
      </c>
      <c r="K209" s="31" t="str">
        <f>IFERROR(VLOOKUP(MUESTREO_LABORAL_A2[[#This Row],[ACTIVIDAD]],'Lista Maestra'!$D$6:$F$190,2,0),"")</f>
        <v>ALIMENTARSE</v>
      </c>
      <c r="L209" s="8" t="s">
        <v>33</v>
      </c>
      <c r="M209" s="8"/>
      <c r="N209" s="10">
        <v>0.5395833333333333</v>
      </c>
      <c r="O209" s="10">
        <v>0.57708333333333328</v>
      </c>
      <c r="P209" s="7">
        <f>IF(MUESTREO_LABORAL_A2[[#This Row],[TIEMPO INICIO]]="","",(MUESTREO_LABORAL_A2[[#This Row],[TIEMPO FIN]]-MUESTREO_LABORAL_A2[[#This Row],[TIEMPO INICIO]])*24)</f>
        <v>0.89999999999999947</v>
      </c>
      <c r="Q209" s="12"/>
      <c r="R209" s="12"/>
    </row>
    <row r="210" spans="2:18" ht="28.95" customHeight="1" x14ac:dyDescent="0.3">
      <c r="B210" s="2" t="s">
        <v>17</v>
      </c>
      <c r="C210" s="2" t="s">
        <v>18</v>
      </c>
      <c r="D210" s="8" t="s">
        <v>133</v>
      </c>
      <c r="E210" s="8" t="s">
        <v>134</v>
      </c>
      <c r="F210" s="9">
        <v>45994</v>
      </c>
      <c r="G210" s="9"/>
      <c r="H210" s="8"/>
      <c r="I210" s="8" t="s">
        <v>155</v>
      </c>
      <c r="J210" s="31" t="str">
        <f>IFERROR(VLOOKUP(MUESTREO_LABORAL_A2[[#This Row],[ACTIVIDAD]],'Lista Maestra'!$D$6:$F$190,3,0),"")</f>
        <v>GESTIÓN DOCUMENTAL</v>
      </c>
      <c r="K210" s="31" t="str">
        <f>IFERROR(VLOOKUP(MUESTREO_LABORAL_A2[[#This Row],[ACTIVIDAD]],'Lista Maestra'!$D$6:$F$190,2,0),"")</f>
        <v xml:space="preserve"> EL CONTADOR NOS ASIGNÓ CUENTAS PARA EL RESPECTIVO ANÁLISIS EL CUAL TENEMOS QUE COLOCAR LA INFORMACIÓN EN LA RUTA DE GERENTE FINANCIERO.</v>
      </c>
      <c r="L210" s="8" t="s">
        <v>22</v>
      </c>
      <c r="M210" s="8"/>
      <c r="N210" s="10">
        <v>0.5395833333333333</v>
      </c>
      <c r="O210" s="10">
        <v>0.59791666666666665</v>
      </c>
      <c r="P210" s="7">
        <f>IF(MUESTREO_LABORAL_A2[[#This Row],[TIEMPO INICIO]]="","",(MUESTREO_LABORAL_A2[[#This Row],[TIEMPO FIN]]-MUESTREO_LABORAL_A2[[#This Row],[TIEMPO INICIO]])*24)</f>
        <v>1.4000000000000004</v>
      </c>
      <c r="Q210" s="12"/>
      <c r="R210" s="12"/>
    </row>
    <row r="211" spans="2:18" ht="28.95" customHeight="1" x14ac:dyDescent="0.3">
      <c r="B211" s="2" t="s">
        <v>17</v>
      </c>
      <c r="C211" s="2" t="s">
        <v>18</v>
      </c>
      <c r="D211" s="8" t="s">
        <v>133</v>
      </c>
      <c r="E211" s="8" t="s">
        <v>134</v>
      </c>
      <c r="F211" s="9">
        <v>45994</v>
      </c>
      <c r="G211" s="9"/>
      <c r="H211" s="8"/>
      <c r="I211" s="8" t="s">
        <v>156</v>
      </c>
      <c r="J211" s="31" t="str">
        <f>IFERROR(VLOOKUP(MUESTREO_LABORAL_A2[[#This Row],[ACTIVIDAD]],'Lista Maestra'!$D$6:$F$190,3,0),"")</f>
        <v>RETENCIONES</v>
      </c>
      <c r="K211" s="31" t="str">
        <f>IFERROR(VLOOKUP(MUESTREO_LABORAL_A2[[#This Row],[ACTIVIDAD]],'Lista Maestra'!$D$6:$F$190,2,0),"")</f>
        <v xml:space="preserve">  POSTERIOR AL CIERRE DE CXP-CXC SE PROCEDE A REGISTRAR CORRECTAMENTE EL MONTO EN SAP YA QUE SAP HACE EL DIARIO DE FORMA GENERAL  101050204-0-0-1 RETENCIONES EN LA FUENTE (, , TSER) Y LO CORRECTO ES 101050202-0-0-1  2% IMPUESTO RENTA RETENIDO</v>
      </c>
      <c r="L211" s="8" t="s">
        <v>22</v>
      </c>
      <c r="M211" s="8"/>
      <c r="N211" s="10">
        <v>0.59791666666666665</v>
      </c>
      <c r="O211" s="10">
        <v>0.6118055555555556</v>
      </c>
      <c r="P211" s="7">
        <f>IF(MUESTREO_LABORAL_A2[[#This Row],[TIEMPO INICIO]]="","",(MUESTREO_LABORAL_A2[[#This Row],[TIEMPO FIN]]-MUESTREO_LABORAL_A2[[#This Row],[TIEMPO INICIO]])*24)</f>
        <v>0.33333333333333481</v>
      </c>
      <c r="Q211" s="12"/>
      <c r="R211" s="12"/>
    </row>
    <row r="212" spans="2:18" ht="28.95" customHeight="1" x14ac:dyDescent="0.3">
      <c r="B212" s="2" t="s">
        <v>17</v>
      </c>
      <c r="C212" s="2" t="s">
        <v>18</v>
      </c>
      <c r="D212" s="8" t="s">
        <v>133</v>
      </c>
      <c r="E212" s="8" t="s">
        <v>134</v>
      </c>
      <c r="F212" s="9">
        <v>45994</v>
      </c>
      <c r="G212" s="9"/>
      <c r="H212" s="8"/>
      <c r="I212" s="8" t="s">
        <v>154</v>
      </c>
      <c r="J212" s="31" t="str">
        <f>IFERROR(VLOOKUP(MUESTREO_LABORAL_A2[[#This Row],[ACTIVIDAD]],'Lista Maestra'!$D$6:$F$190,3,0),"")</f>
        <v>CONCILIACIÓN</v>
      </c>
      <c r="K212" s="31" t="str">
        <f>IFERROR(VLOOKUP(MUESTREO_LABORAL_A2[[#This Row],[ACTIVIDAD]],'Lista Maestra'!$D$6:$F$190,2,0),"")</f>
        <v>SEGMENTACIÓN POR FRUTA Y MATERIALES SE PROCEDE A BAJAR DE SAP EL QUERY MOVIMIENTO DE OF DONDE ESTÁ TODO LA INFORMACIÓN DE  ENTRADA; DEVOLUCIÓN; ENTREGA; EMISIÓN; RECIBO; FACTURA EN DONDE LOS DOCUMENTOS DE EMISIÓN GENERADOS POR LOS CONSUMOS  SE REVISAN CON EL MAYOR CON LOS COSTOS DE EXPORTACION LUEGO DEL RESPECTIVO CUADRE SE PROCEDE HACER EL DIARIO EN SAP</v>
      </c>
      <c r="L212" s="8" t="s">
        <v>22</v>
      </c>
      <c r="M212" s="8"/>
      <c r="N212" s="10">
        <v>0.6118055555555556</v>
      </c>
      <c r="O212" s="10">
        <v>0.65486111111111112</v>
      </c>
      <c r="P212" s="7">
        <f>IF(MUESTREO_LABORAL_A2[[#This Row],[TIEMPO INICIO]]="","",(MUESTREO_LABORAL_A2[[#This Row],[TIEMPO FIN]]-MUESTREO_LABORAL_A2[[#This Row],[TIEMPO INICIO]])*24)</f>
        <v>1.0333333333333323</v>
      </c>
      <c r="Q212" s="12" t="s">
        <v>157</v>
      </c>
      <c r="R212" s="12"/>
    </row>
    <row r="213" spans="2:18" ht="28.95" customHeight="1" x14ac:dyDescent="0.3">
      <c r="B213" s="2" t="s">
        <v>17</v>
      </c>
      <c r="C213" s="2" t="s">
        <v>18</v>
      </c>
      <c r="D213" s="8" t="s">
        <v>133</v>
      </c>
      <c r="E213" s="8" t="s">
        <v>134</v>
      </c>
      <c r="F213" s="9">
        <v>45995</v>
      </c>
      <c r="G213" s="9"/>
      <c r="H213" s="8"/>
      <c r="I213" s="8" t="s">
        <v>158</v>
      </c>
      <c r="J213" s="31" t="str">
        <f>IFERROR(VLOOKUP(MUESTREO_LABORAL_A2[[#This Row],[ACTIVIDAD]],'Lista Maestra'!$D$6:$F$190,3,0),"")</f>
        <v>GESTIÓN DOCUMENTAL</v>
      </c>
      <c r="K213" s="31" t="str">
        <f>IFERROR(VLOOKUP(MUESTREO_LABORAL_A2[[#This Row],[ACTIVIDAD]],'Lista Maestra'!$D$6:$F$190,2,0),"")</f>
        <v xml:space="preserve"> LUEGO DE LA CONFIRMACIÓN DEL CIERRE CXC SE PROCEDE A BAJAR LOS REPORTE PARA EL RESPETIVA ANÁLISIS Y REVISIÓN DEL VALOR A PAGAR DEL MES, EL CUAL SE BASA EN EL CUADRE DE LAS VENTAS CONTABLIDAD VS REPORTE  DE LAS CATEGORIA DE BANANO, PLÁTANO, OTROS CON EL ESTADO DE RESULTADOS.</v>
      </c>
      <c r="L213" s="8" t="s">
        <v>22</v>
      </c>
      <c r="M213" s="8"/>
      <c r="N213" s="10">
        <v>0.65902777777777777</v>
      </c>
      <c r="O213" s="10">
        <v>0.70833333333333337</v>
      </c>
      <c r="P213" s="7">
        <f>IF(MUESTREO_LABORAL_A2[[#This Row],[TIEMPO INICIO]]="","",(MUESTREO_LABORAL_A2[[#This Row],[TIEMPO FIN]]-MUESTREO_LABORAL_A2[[#This Row],[TIEMPO INICIO]])*24)</f>
        <v>1.1833333333333345</v>
      </c>
      <c r="Q213" s="12"/>
      <c r="R213" s="12"/>
    </row>
    <row r="214" spans="2:18" ht="28.95" customHeight="1" x14ac:dyDescent="0.3">
      <c r="B214" s="2" t="s">
        <v>17</v>
      </c>
      <c r="C214" s="2" t="s">
        <v>18</v>
      </c>
      <c r="D214" s="8" t="s">
        <v>133</v>
      </c>
      <c r="E214" s="8" t="s">
        <v>134</v>
      </c>
      <c r="F214" s="9">
        <v>45995</v>
      </c>
      <c r="G214" s="9"/>
      <c r="H214" s="8"/>
      <c r="I214" s="8" t="s">
        <v>158</v>
      </c>
      <c r="J214" s="31" t="str">
        <f>IFERROR(VLOOKUP(MUESTREO_LABORAL_A2[[#This Row],[ACTIVIDAD]],'Lista Maestra'!$D$6:$F$190,3,0),"")</f>
        <v>GESTIÓN DOCUMENTAL</v>
      </c>
      <c r="K214" s="31" t="str">
        <f>IFERROR(VLOOKUP(MUESTREO_LABORAL_A2[[#This Row],[ACTIVIDAD]],'Lista Maestra'!$D$6:$F$190,2,0),"")</f>
        <v xml:space="preserve"> LUEGO DE LA CONFIRMACIÓN DEL CIERRE CXC SE PROCEDE A BAJAR LOS REPORTE PARA EL RESPETIVA ANÁLISIS Y REVISIÓN DEL VALOR A PAGAR DEL MES, EL CUAL SE BASA EN EL CUADRE DE LAS VENTAS CONTABLIDAD VS REPORTE  DE LAS CATEGORIA DE BANANO, PLÁTANO, OTROS CON EL ESTADO DE RESULTADOS.</v>
      </c>
      <c r="L214" s="8" t="s">
        <v>22</v>
      </c>
      <c r="M214" s="8"/>
      <c r="N214" s="10">
        <v>0.3576388888888889</v>
      </c>
      <c r="O214" s="10">
        <v>0.38333333333333341</v>
      </c>
      <c r="P214" s="7">
        <f>IF(MUESTREO_LABORAL_A2[[#This Row],[TIEMPO INICIO]]="","",(MUESTREO_LABORAL_A2[[#This Row],[TIEMPO FIN]]-MUESTREO_LABORAL_A2[[#This Row],[TIEMPO INICIO]])*24)</f>
        <v>0.61666666666666847</v>
      </c>
      <c r="Q214" s="12"/>
      <c r="R214" s="12"/>
    </row>
    <row r="215" spans="2:18" ht="28.95" customHeight="1" x14ac:dyDescent="0.3">
      <c r="B215" s="2" t="s">
        <v>17</v>
      </c>
      <c r="C215" s="2" t="s">
        <v>18</v>
      </c>
      <c r="D215" s="8" t="s">
        <v>133</v>
      </c>
      <c r="E215" s="8" t="s">
        <v>134</v>
      </c>
      <c r="F215" s="9">
        <v>45995</v>
      </c>
      <c r="G215" s="9"/>
      <c r="H215" s="8"/>
      <c r="I215" s="8" t="s">
        <v>139</v>
      </c>
      <c r="J215" s="31" t="str">
        <f>IFERROR(VLOOKUP(MUESTREO_LABORAL_A2[[#This Row],[ACTIVIDAD]],'Lista Maestra'!$D$6:$F$190,3,0),"")</f>
        <v>BLOQUEO/DESBLOQUEO SAP</v>
      </c>
      <c r="K215" s="31" t="str">
        <f>IFERROR(VLOOKUP(MUESTREO_LABORAL_A2[[#This Row],[ACTIVIDAD]],'Lista Maestra'!$D$6:$F$190,2,0),"")</f>
        <v>SOPORTE BLOQUEO/DESBLOQUEO DE PERIODOS EN SAP DE LAS COMPAÑÍA DEL GRUPO PREVIA AUTOROZACION DEL CONTADOR/CONTADOR GENERAL</v>
      </c>
      <c r="L215" s="8" t="s">
        <v>22</v>
      </c>
      <c r="M215" s="8"/>
      <c r="N215" s="10">
        <v>0.38333333333333341</v>
      </c>
      <c r="O215" s="10">
        <v>0.39097222222222222</v>
      </c>
      <c r="P215" s="7">
        <f>IF(MUESTREO_LABORAL_A2[[#This Row],[TIEMPO INICIO]]="","",(MUESTREO_LABORAL_A2[[#This Row],[TIEMPO FIN]]-MUESTREO_LABORAL_A2[[#This Row],[TIEMPO INICIO]])*24)</f>
        <v>0.18333333333333135</v>
      </c>
      <c r="Q215" s="12"/>
      <c r="R215" s="12"/>
    </row>
    <row r="216" spans="2:18" ht="41.4" customHeight="1" x14ac:dyDescent="0.3">
      <c r="B216" s="2" t="s">
        <v>17</v>
      </c>
      <c r="C216" s="2" t="s">
        <v>18</v>
      </c>
      <c r="D216" s="8" t="s">
        <v>133</v>
      </c>
      <c r="E216" s="8" t="s">
        <v>134</v>
      </c>
      <c r="F216" s="9">
        <v>45995</v>
      </c>
      <c r="G216" s="9"/>
      <c r="H216" s="8"/>
      <c r="I216" s="8" t="s">
        <v>159</v>
      </c>
      <c r="J216" s="31" t="str">
        <f>IFERROR(VLOOKUP(MUESTREO_LABORAL_A2[[#This Row],[ACTIVIDAD]],'Lista Maestra'!$D$6:$F$190,3,0),"")</f>
        <v>DECLARACIÓN IMPUESTOS</v>
      </c>
      <c r="K216" s="31" t="str">
        <f>IFERROR(VLOOKUP(MUESTREO_LABORAL_A2[[#This Row],[ACTIVIDAD]],'Lista Maestra'!$D$6:$F$190,2,0),"")</f>
        <v>SE PROCEDE CON LA ELABORACION DE LA DECLARACION DESPUES DEL CIERRE DE CUENTAS POR PAGAR Y FACTURACION A CLIENTES ,UNA VEZ CERRADO EL MES SE BAJAN LOS REPORTES  DE VENTAS PARA LA RESPECTIVA REVISION DE IGUAL FORMA CON  LA BASE DE COMPRAS Y RETENCIONES , SE RELAIZA LA CUADRATRURA CON EL MAYOR CONTABLE DE LAS CUENTAS DE IMPUESTOS ,LUEGO SE PROCEDE CON EL  REGISTRO DE ASIENTO DE DIARIO DE COMPENSACION DEL IVA COBRADO , REGISTRO DE RECLASIFICACION DE LAS CUENTAS DE RETENCIONES POR PAGAR IR Y IVA , SOLICITUD DE FONDEO A FINANCIERO , POSTERIOR SE REALIZA EL ENVIO EN LA FECHA DE VENCIMIENTO ANTE EL SRI</v>
      </c>
      <c r="L216" s="8" t="s">
        <v>22</v>
      </c>
      <c r="M216" s="8"/>
      <c r="N216" s="10">
        <v>0.39097222222222222</v>
      </c>
      <c r="O216" s="10">
        <v>0.47916666666666669</v>
      </c>
      <c r="P216" s="7">
        <f>IF(MUESTREO_LABORAL_A2[[#This Row],[TIEMPO INICIO]]="","",(MUESTREO_LABORAL_A2[[#This Row],[TIEMPO FIN]]-MUESTREO_LABORAL_A2[[#This Row],[TIEMPO INICIO]])*24)</f>
        <v>2.1166666666666671</v>
      </c>
      <c r="Q216" s="12"/>
      <c r="R216" s="12"/>
    </row>
    <row r="217" spans="2:18" ht="28.95" customHeight="1" x14ac:dyDescent="0.3">
      <c r="B217" s="2" t="s">
        <v>17</v>
      </c>
      <c r="C217" s="2" t="s">
        <v>18</v>
      </c>
      <c r="D217" s="8" t="s">
        <v>133</v>
      </c>
      <c r="E217" s="8" t="s">
        <v>134</v>
      </c>
      <c r="F217" s="9">
        <v>45995</v>
      </c>
      <c r="G217" s="9"/>
      <c r="H217" s="8"/>
      <c r="I217" s="8" t="s">
        <v>160</v>
      </c>
      <c r="J217" s="31" t="str">
        <f>IFERROR(VLOOKUP(MUESTREO_LABORAL_A2[[#This Row],[ACTIVIDAD]],'Lista Maestra'!$D$6:$F$190,3,0),"")</f>
        <v>ANÁLISIS Y CRITERIO INGENIERIL</v>
      </c>
      <c r="K217" s="31">
        <f>IFERROR(VLOOKUP(MUESTREO_LABORAL_A2[[#This Row],[ACTIVIDAD]],'Lista Maestra'!$D$6:$F$190,2,0),"")</f>
        <v>0</v>
      </c>
      <c r="L217" s="8" t="s">
        <v>22</v>
      </c>
      <c r="M217" s="8"/>
      <c r="N217" s="10">
        <v>0.47916666666666669</v>
      </c>
      <c r="O217" s="10">
        <v>0.52430555555555558</v>
      </c>
      <c r="P217" s="7">
        <f>IF(MUESTREO_LABORAL_A2[[#This Row],[TIEMPO INICIO]]="","",(MUESTREO_LABORAL_A2[[#This Row],[TIEMPO FIN]]-MUESTREO_LABORAL_A2[[#This Row],[TIEMPO INICIO]])*24)</f>
        <v>1.0833333333333335</v>
      </c>
      <c r="Q217" s="12" t="s">
        <v>161</v>
      </c>
      <c r="R217" s="12"/>
    </row>
    <row r="218" spans="2:18" ht="28.95" customHeight="1" x14ac:dyDescent="0.3">
      <c r="B218" s="2" t="s">
        <v>17</v>
      </c>
      <c r="C218" s="2" t="s">
        <v>18</v>
      </c>
      <c r="D218" s="8" t="s">
        <v>133</v>
      </c>
      <c r="E218" s="8" t="s">
        <v>134</v>
      </c>
      <c r="F218" s="9">
        <v>45995</v>
      </c>
      <c r="G218" s="9"/>
      <c r="H218" s="8"/>
      <c r="I218" s="8" t="s">
        <v>160</v>
      </c>
      <c r="J218" s="31" t="str">
        <f>IFERROR(VLOOKUP(MUESTREO_LABORAL_A2[[#This Row],[ACTIVIDAD]],'Lista Maestra'!$D$6:$F$190,3,0),"")</f>
        <v>ANÁLISIS Y CRITERIO INGENIERIL</v>
      </c>
      <c r="K218" s="31">
        <f>IFERROR(VLOOKUP(MUESTREO_LABORAL_A2[[#This Row],[ACTIVIDAD]],'Lista Maestra'!$D$6:$F$190,2,0),"")</f>
        <v>0</v>
      </c>
      <c r="L218" s="8" t="s">
        <v>22</v>
      </c>
      <c r="M218" s="8"/>
      <c r="N218" s="10">
        <v>0.52430555555555558</v>
      </c>
      <c r="O218" s="10">
        <v>0.53819444444444442</v>
      </c>
      <c r="P218" s="7">
        <f>IF(MUESTREO_LABORAL_A2[[#This Row],[TIEMPO INICIO]]="","",(MUESTREO_LABORAL_A2[[#This Row],[TIEMPO FIN]]-MUESTREO_LABORAL_A2[[#This Row],[TIEMPO INICIO]])*24)</f>
        <v>0.33333333333333215</v>
      </c>
      <c r="Q218" s="12" t="s">
        <v>162</v>
      </c>
      <c r="R218" s="12"/>
    </row>
    <row r="219" spans="2:18" ht="28.95" customHeight="1" x14ac:dyDescent="0.3">
      <c r="B219" s="2" t="s">
        <v>17</v>
      </c>
      <c r="C219" s="2" t="s">
        <v>18</v>
      </c>
      <c r="D219" s="8" t="s">
        <v>133</v>
      </c>
      <c r="E219" s="8" t="s">
        <v>134</v>
      </c>
      <c r="F219" s="9">
        <v>45995</v>
      </c>
      <c r="G219" s="9"/>
      <c r="H219" s="8"/>
      <c r="I219" s="8" t="s">
        <v>163</v>
      </c>
      <c r="J219" s="31" t="str">
        <f>IFERROR(VLOOKUP(MUESTREO_LABORAL_A2[[#This Row],[ACTIVIDAD]],'Lista Maestra'!$D$6:$F$190,3,0),"")</f>
        <v>GESTIÓN DOCUMENTAL</v>
      </c>
      <c r="K219" s="31" t="str">
        <f>IFERROR(VLOOKUP(MUESTREO_LABORAL_A2[[#This Row],[ACTIVIDAD]],'Lista Maestra'!$D$6:$F$190,2,0),"")</f>
        <v>GENERACIÓN DEL ANEXO EL CUAL SE DESCARGA DE SAP, SE REALIZA EL ANÁLISIS Y REVISIÓN DE CADA RUBRO( PORCENTAJES DE RETENCIONES, MONTO DE VENTAS EXPORTACION,MONTOS DE COMPRAS) DEBE SER IGUAL AL FORMULARIO 104-103 DE LA DECLARACIÓN</v>
      </c>
      <c r="L219" s="8" t="s">
        <v>22</v>
      </c>
      <c r="M219" s="8"/>
      <c r="N219" s="10">
        <v>0.53819444444444442</v>
      </c>
      <c r="O219" s="10">
        <v>0.55000000000000004</v>
      </c>
      <c r="P219" s="7">
        <f>IF(MUESTREO_LABORAL_A2[[#This Row],[TIEMPO INICIO]]="","",(MUESTREO_LABORAL_A2[[#This Row],[TIEMPO FIN]]-MUESTREO_LABORAL_A2[[#This Row],[TIEMPO INICIO]])*24)</f>
        <v>0.28333333333333499</v>
      </c>
      <c r="Q219" s="12"/>
      <c r="R219" s="12"/>
    </row>
    <row r="220" spans="2:18" ht="28.95" customHeight="1" x14ac:dyDescent="0.3">
      <c r="B220" s="2" t="s">
        <v>17</v>
      </c>
      <c r="C220" s="2" t="s">
        <v>18</v>
      </c>
      <c r="D220" s="8" t="s">
        <v>133</v>
      </c>
      <c r="E220" s="8" t="s">
        <v>134</v>
      </c>
      <c r="F220" s="9">
        <v>45995</v>
      </c>
      <c r="G220" s="9"/>
      <c r="H220" s="8"/>
      <c r="I220" s="8" t="s">
        <v>33</v>
      </c>
      <c r="J220" s="31" t="str">
        <f>IFERROR(VLOOKUP(MUESTREO_LABORAL_A2[[#This Row],[ACTIVIDAD]],'Lista Maestra'!$D$6:$F$190,3,0),"")</f>
        <v>ALIMENTACIÓN</v>
      </c>
      <c r="K220" s="31" t="str">
        <f>IFERROR(VLOOKUP(MUESTREO_LABORAL_A2[[#This Row],[ACTIVIDAD]],'Lista Maestra'!$D$6:$F$190,2,0),"")</f>
        <v>ALIMENTARSE</v>
      </c>
      <c r="L220" s="8" t="s">
        <v>33</v>
      </c>
      <c r="M220" s="8"/>
      <c r="N220" s="10">
        <v>0.55000000000000004</v>
      </c>
      <c r="O220" s="10">
        <v>0.57916666666666672</v>
      </c>
      <c r="P220" s="7">
        <f>IF(MUESTREO_LABORAL_A2[[#This Row],[TIEMPO INICIO]]="","",(MUESTREO_LABORAL_A2[[#This Row],[TIEMPO FIN]]-MUESTREO_LABORAL_A2[[#This Row],[TIEMPO INICIO]])*24)</f>
        <v>0.70000000000000018</v>
      </c>
      <c r="Q220" s="12"/>
      <c r="R220" s="12"/>
    </row>
    <row r="221" spans="2:18" ht="28.95" customHeight="1" x14ac:dyDescent="0.3">
      <c r="B221" s="2" t="s">
        <v>17</v>
      </c>
      <c r="C221" s="2" t="s">
        <v>18</v>
      </c>
      <c r="D221" s="8" t="s">
        <v>133</v>
      </c>
      <c r="E221" s="8" t="s">
        <v>134</v>
      </c>
      <c r="F221" s="9">
        <v>45995</v>
      </c>
      <c r="G221" s="9"/>
      <c r="H221" s="8"/>
      <c r="I221" s="8" t="s">
        <v>163</v>
      </c>
      <c r="J221" s="31" t="str">
        <f>IFERROR(VLOOKUP(MUESTREO_LABORAL_A2[[#This Row],[ACTIVIDAD]],'Lista Maestra'!$D$6:$F$190,3,0),"")</f>
        <v>GESTIÓN DOCUMENTAL</v>
      </c>
      <c r="K221" s="31" t="str">
        <f>IFERROR(VLOOKUP(MUESTREO_LABORAL_A2[[#This Row],[ACTIVIDAD]],'Lista Maestra'!$D$6:$F$190,2,0),"")</f>
        <v>GENERACIÓN DEL ANEXO EL CUAL SE DESCARGA DE SAP, SE REALIZA EL ANÁLISIS Y REVISIÓN DE CADA RUBRO( PORCENTAJES DE RETENCIONES, MONTO DE VENTAS EXPORTACION,MONTOS DE COMPRAS) DEBE SER IGUAL AL FORMULARIO 104-103 DE LA DECLARACIÓN</v>
      </c>
      <c r="L221" s="8" t="s">
        <v>22</v>
      </c>
      <c r="M221" s="8"/>
      <c r="N221" s="10">
        <v>0.57916666666666672</v>
      </c>
      <c r="O221" s="10">
        <v>0.61875000000000002</v>
      </c>
      <c r="P221" s="7">
        <f>IF(MUESTREO_LABORAL_A2[[#This Row],[TIEMPO INICIO]]="","",(MUESTREO_LABORAL_A2[[#This Row],[TIEMPO FIN]]-MUESTREO_LABORAL_A2[[#This Row],[TIEMPO INICIO]])*24)</f>
        <v>0.94999999999999929</v>
      </c>
      <c r="Q221" s="12"/>
      <c r="R221" s="12"/>
    </row>
    <row r="222" spans="2:18" ht="28.95" customHeight="1" x14ac:dyDescent="0.3">
      <c r="B222" s="2" t="s">
        <v>17</v>
      </c>
      <c r="C222" s="2" t="s">
        <v>18</v>
      </c>
      <c r="D222" s="8" t="s">
        <v>133</v>
      </c>
      <c r="E222" s="8" t="s">
        <v>134</v>
      </c>
      <c r="F222" s="9">
        <v>45995</v>
      </c>
      <c r="G222" s="9"/>
      <c r="H222" s="8"/>
      <c r="I222" s="8" t="s">
        <v>164</v>
      </c>
      <c r="J222" s="31" t="str">
        <f>IFERROR(VLOOKUP(MUESTREO_LABORAL_A2[[#This Row],[ACTIVIDAD]],'Lista Maestra'!$D$6:$F$190,3,0),"")</f>
        <v>ANÁLISIS Y CRITERIO INGENIERIL</v>
      </c>
      <c r="K222" s="31" t="str">
        <f>IFERROR(VLOOKUP(MUESTREO_LABORAL_A2[[#This Row],[ACTIVIDAD]],'Lista Maestra'!$D$6:$F$190,2,0),"")</f>
        <v>SE REALIZA EL ANÁLISIS Y REVISIÓN  DE MANERA MENSUAL DEL PRECIO DE EXPORTACIÓN FACTURADO VS EL PRECIO MÍNIMO AUTORIZADO EL CUAL SE LE COMPARTE LAS DIFERENCIAS AL ÁREA COMERCIAL Y PLANIFICAACIÓN  FINANCIERA PARA LOS CORRECTIVOS A FUTURO.</v>
      </c>
      <c r="L222" s="8" t="s">
        <v>22</v>
      </c>
      <c r="M222" s="8"/>
      <c r="N222" s="10">
        <v>0.62222222222222223</v>
      </c>
      <c r="O222" s="10">
        <v>0.65208333333333335</v>
      </c>
      <c r="P222" s="7">
        <f>IF(MUESTREO_LABORAL_A2[[#This Row],[TIEMPO INICIO]]="","",(MUESTREO_LABORAL_A2[[#This Row],[TIEMPO FIN]]-MUESTREO_LABORAL_A2[[#This Row],[TIEMPO INICIO]])*24)</f>
        <v>0.71666666666666679</v>
      </c>
      <c r="Q222" s="12"/>
      <c r="R222" s="12"/>
    </row>
    <row r="223" spans="2:18" ht="28.95" customHeight="1" x14ac:dyDescent="0.3">
      <c r="B223" s="2" t="s">
        <v>17</v>
      </c>
      <c r="C223" s="2" t="s">
        <v>18</v>
      </c>
      <c r="D223" s="8" t="s">
        <v>133</v>
      </c>
      <c r="E223" s="8" t="s">
        <v>134</v>
      </c>
      <c r="F223" s="9">
        <v>45996</v>
      </c>
      <c r="G223" s="9"/>
      <c r="H223" s="8"/>
      <c r="I223" s="8" t="s">
        <v>165</v>
      </c>
      <c r="J223" s="31" t="str">
        <f>IFERROR(VLOOKUP(MUESTREO_LABORAL_A2[[#This Row],[ACTIVIDAD]],'Lista Maestra'!$D$6:$F$190,3,0),"")</f>
        <v>GESTIÓN DOCUMENTAL</v>
      </c>
      <c r="K223" s="31" t="str">
        <f>IFERROR(VLOOKUP(MUESTREO_LABORAL_A2[[#This Row],[ACTIVIDAD]],'Lista Maestra'!$D$6:$F$190,2,0),"")</f>
        <v>ELABROACION DE INFORMACION REQUERIDA POR AUDITORIA EXTERNA. (DEPENDE LA DISTRIBUCIÓN DE ITEMS INDICADOS POR EL CONTADOR)</v>
      </c>
      <c r="L223" s="8" t="s">
        <v>22</v>
      </c>
      <c r="M223" s="8"/>
      <c r="N223" s="10">
        <v>0.35972222222222222</v>
      </c>
      <c r="O223" s="10">
        <v>0.44791666666666669</v>
      </c>
      <c r="P223" s="7">
        <f>IF(MUESTREO_LABORAL_A2[[#This Row],[TIEMPO INICIO]]="","",(MUESTREO_LABORAL_A2[[#This Row],[TIEMPO FIN]]-MUESTREO_LABORAL_A2[[#This Row],[TIEMPO INICIO]])*24)</f>
        <v>2.1166666666666671</v>
      </c>
      <c r="Q223" s="12"/>
      <c r="R223" s="12"/>
    </row>
    <row r="224" spans="2:18" ht="28.95" customHeight="1" x14ac:dyDescent="0.3">
      <c r="B224" s="2" t="s">
        <v>17</v>
      </c>
      <c r="C224" s="2" t="s">
        <v>18</v>
      </c>
      <c r="D224" s="8" t="s">
        <v>133</v>
      </c>
      <c r="E224" s="8" t="s">
        <v>134</v>
      </c>
      <c r="F224" s="9">
        <v>45996</v>
      </c>
      <c r="G224" s="9"/>
      <c r="H224" s="8"/>
      <c r="I224" s="8" t="s">
        <v>151</v>
      </c>
      <c r="J224" s="31" t="str">
        <f>IFERROR(VLOOKUP(MUESTREO_LABORAL_A2[[#This Row],[ACTIVIDAD]],'Lista Maestra'!$D$6:$F$190,3,0),"")</f>
        <v>CONCILIACIÓN</v>
      </c>
      <c r="K224" s="31" t="str">
        <f>IFERROR(VLOOKUP(MUESTREO_LABORAL_A2[[#This Row],[ACTIVIDAD]],'Lista Maestra'!$D$6:$F$190,2,0),"")</f>
        <v xml:space="preserve"> TIENE COMO FINALIZADAD CUADRAR LOS SALDOS ENTRE CIAS LO CUAL EN SAP SE BAJA EL REPORTE  CONCILIACIÓN RELACIONADAS DETALLE EN LAS EMPRESAS TFE/TSER/MLC DONDE SE HACE EL ANÁLISIS Y REVISION DE LAS CXP Y CXC  MODULOS Y NO MODULOS. CADA CONTADOR ES ENCARGADO DE ENVIAR SUS SALDOS DE LAS CIA A CARGO PARA PROCEDER ACTUALIZAR EN LA PLANTILLA </v>
      </c>
      <c r="L224" s="8" t="s">
        <v>22</v>
      </c>
      <c r="M224" s="8"/>
      <c r="N224" s="10">
        <v>0.44791666666666669</v>
      </c>
      <c r="O224" s="10">
        <v>0.50624999999999998</v>
      </c>
      <c r="P224" s="7">
        <f>IF(MUESTREO_LABORAL_A2[[#This Row],[TIEMPO INICIO]]="","",(MUESTREO_LABORAL_A2[[#This Row],[TIEMPO FIN]]-MUESTREO_LABORAL_A2[[#This Row],[TIEMPO INICIO]])*24)</f>
        <v>1.399999999999999</v>
      </c>
      <c r="Q224" s="12"/>
      <c r="R224" s="12"/>
    </row>
    <row r="225" spans="2:18" ht="28.95" customHeight="1" x14ac:dyDescent="0.3">
      <c r="B225" s="2" t="s">
        <v>17</v>
      </c>
      <c r="C225" s="2" t="s">
        <v>18</v>
      </c>
      <c r="D225" s="8" t="s">
        <v>133</v>
      </c>
      <c r="E225" s="8" t="s">
        <v>134</v>
      </c>
      <c r="F225" s="9">
        <v>45996</v>
      </c>
      <c r="G225" s="9"/>
      <c r="H225" s="8"/>
      <c r="I225" s="8" t="s">
        <v>154</v>
      </c>
      <c r="J225" s="31" t="str">
        <f>IFERROR(VLOOKUP(MUESTREO_LABORAL_A2[[#This Row],[ACTIVIDAD]],'Lista Maestra'!$D$6:$F$190,3,0),"")</f>
        <v>CONCILIACIÓN</v>
      </c>
      <c r="K225" s="31" t="str">
        <f>IFERROR(VLOOKUP(MUESTREO_LABORAL_A2[[#This Row],[ACTIVIDAD]],'Lista Maestra'!$D$6:$F$190,2,0),"")</f>
        <v>SEGMENTACIÓN POR FRUTA Y MATERIALES SE PROCEDE A BAJAR DE SAP EL QUERY MOVIMIENTO DE OF DONDE ESTÁ TODO LA INFORMACIÓN DE  ENTRADA; DEVOLUCIÓN; ENTREGA; EMISIÓN; RECIBO; FACTURA EN DONDE LOS DOCUMENTOS DE EMISIÓN GENERADOS POR LOS CONSUMOS  SE REVISAN CON EL MAYOR CON LOS COSTOS DE EXPORTACION LUEGO DEL RESPECTIVO CUADRE SE PROCEDE HACER EL DIARIO EN SAP</v>
      </c>
      <c r="L225" s="8" t="s">
        <v>22</v>
      </c>
      <c r="M225" s="8"/>
      <c r="N225" s="10">
        <v>0.5083333333333333</v>
      </c>
      <c r="O225" s="10">
        <v>0.53819444444444442</v>
      </c>
      <c r="P225" s="7">
        <f>IF(MUESTREO_LABORAL_A2[[#This Row],[TIEMPO INICIO]]="","",(MUESTREO_LABORAL_A2[[#This Row],[TIEMPO FIN]]-MUESTREO_LABORAL_A2[[#This Row],[TIEMPO INICIO]])*24)</f>
        <v>0.71666666666666679</v>
      </c>
      <c r="Q225" s="12" t="s">
        <v>166</v>
      </c>
      <c r="R225" s="12"/>
    </row>
    <row r="226" spans="2:18" ht="28.95" customHeight="1" x14ac:dyDescent="0.3">
      <c r="B226" s="2" t="s">
        <v>17</v>
      </c>
      <c r="C226" s="2" t="s">
        <v>18</v>
      </c>
      <c r="D226" s="8" t="s">
        <v>133</v>
      </c>
      <c r="E226" s="8" t="s">
        <v>134</v>
      </c>
      <c r="F226" s="9">
        <v>45996</v>
      </c>
      <c r="G226" s="9"/>
      <c r="H226" s="8"/>
      <c r="I226" s="8" t="s">
        <v>33</v>
      </c>
      <c r="J226" s="31" t="str">
        <f>IFERROR(VLOOKUP(MUESTREO_LABORAL_A2[[#This Row],[ACTIVIDAD]],'Lista Maestra'!$D$6:$F$190,3,0),"")</f>
        <v>ALIMENTACIÓN</v>
      </c>
      <c r="K226" s="31" t="str">
        <f>IFERROR(VLOOKUP(MUESTREO_LABORAL_A2[[#This Row],[ACTIVIDAD]],'Lista Maestra'!$D$6:$F$190,2,0),"")</f>
        <v>ALIMENTARSE</v>
      </c>
      <c r="L226" s="8" t="s">
        <v>33</v>
      </c>
      <c r="M226" s="8"/>
      <c r="N226" s="10">
        <v>0.53819444444444442</v>
      </c>
      <c r="O226" s="10">
        <v>0.57986111111111116</v>
      </c>
      <c r="P226" s="7">
        <f>IF(MUESTREO_LABORAL_A2[[#This Row],[TIEMPO INICIO]]="","",(MUESTREO_LABORAL_A2[[#This Row],[TIEMPO FIN]]-MUESTREO_LABORAL_A2[[#This Row],[TIEMPO INICIO]])*24)</f>
        <v>1.0000000000000018</v>
      </c>
      <c r="Q226" s="12"/>
      <c r="R226" s="12"/>
    </row>
    <row r="227" spans="2:18" ht="28.95" customHeight="1" x14ac:dyDescent="0.3">
      <c r="B227" s="2" t="s">
        <v>17</v>
      </c>
      <c r="C227" s="2" t="s">
        <v>18</v>
      </c>
      <c r="D227" s="8" t="s">
        <v>133</v>
      </c>
      <c r="E227" s="8" t="s">
        <v>134</v>
      </c>
      <c r="F227" s="9">
        <v>45996</v>
      </c>
      <c r="G227" s="9"/>
      <c r="H227" s="8"/>
      <c r="I227" s="8" t="s">
        <v>167</v>
      </c>
      <c r="J227" s="31" t="str">
        <f>IFERROR(VLOOKUP(MUESTREO_LABORAL_A2[[#This Row],[ACTIVIDAD]],'Lista Maestra'!$D$6:$F$190,3,0),"")</f>
        <v>CONCILIACIÓN</v>
      </c>
      <c r="K227" s="31" t="str">
        <f>IFERROR(VLOOKUP(MUESTREO_LABORAL_A2[[#This Row],[ACTIVIDAD]],'Lista Maestra'!$D$6:$F$190,2,0),"")</f>
        <v>SEGMENTACIÓN COSTOS POR FRUTA Y MATERIALES SEGÚN LINEA DE NEGOCIO DEBE DE CUADRAR CON SAP, SE REALIZA POST CONCILIACIÓN COSTO DDE VENTAS.</v>
      </c>
      <c r="L227" s="8" t="s">
        <v>22</v>
      </c>
      <c r="M227" s="8"/>
      <c r="N227" s="10">
        <v>0.57986111111111116</v>
      </c>
      <c r="O227" s="10">
        <v>0.66180555555555554</v>
      </c>
      <c r="P227" s="7">
        <f>IF(MUESTREO_LABORAL_A2[[#This Row],[TIEMPO INICIO]]="","",(MUESTREO_LABORAL_A2[[#This Row],[TIEMPO FIN]]-MUESTREO_LABORAL_A2[[#This Row],[TIEMPO INICIO]])*24)</f>
        <v>1.966666666666665</v>
      </c>
      <c r="Q227" s="12"/>
      <c r="R227" s="12"/>
    </row>
    <row r="228" spans="2:18" ht="72" customHeight="1" x14ac:dyDescent="0.3">
      <c r="B228" s="2" t="s">
        <v>17</v>
      </c>
      <c r="C228" s="2" t="s">
        <v>168</v>
      </c>
      <c r="D228" s="8" t="s">
        <v>169</v>
      </c>
      <c r="E228" s="8" t="s">
        <v>170</v>
      </c>
      <c r="F228" s="9">
        <v>46000</v>
      </c>
      <c r="G228" s="9"/>
      <c r="H228" s="8"/>
      <c r="I228" s="8" t="s">
        <v>171</v>
      </c>
      <c r="J228" s="31" t="str">
        <f>IFERROR(VLOOKUP(MUESTREO_LABORAL_A2[[#This Row],[ACTIVIDAD]],'Lista Maestra'!$D$6:$F$190,3,0),"")</f>
        <v>GESTIÓN DOCUMENTAL</v>
      </c>
      <c r="K228" s="31" t="str">
        <f>IFERROR(VLOOKUP(MUESTREO_LABORAL_A2[[#This Row],[ACTIVIDAD]],'Lista Maestra'!$D$6:$F$190,2,0),"")</f>
        <v>Se declara ante la SENAE la informacion final que se obtiene cuando la semana de exportacion culmina debe estar lista la informacion ,factura , Cierres de planes de embarque para poder declara la informacion correcta de lo que se exporto.</v>
      </c>
      <c r="L228" s="8" t="s">
        <v>22</v>
      </c>
      <c r="M228" s="8"/>
      <c r="N228" s="10">
        <v>0.35</v>
      </c>
      <c r="O228" s="10">
        <v>0.4861111111111111</v>
      </c>
      <c r="P228" s="7">
        <f>IF(MUESTREO_LABORAL_A2[[#This Row],[TIEMPO INICIO]]="","",(MUESTREO_LABORAL_A2[[#This Row],[TIEMPO FIN]]-MUESTREO_LABORAL_A2[[#This Row],[TIEMPO INICIO]])*24)</f>
        <v>3.2666666666666671</v>
      </c>
      <c r="Q228" s="12" t="s">
        <v>172</v>
      </c>
      <c r="R228" s="12"/>
    </row>
    <row r="229" spans="2:18" ht="28.95" customHeight="1" x14ac:dyDescent="0.3">
      <c r="B229" s="2" t="s">
        <v>17</v>
      </c>
      <c r="C229" s="2" t="s">
        <v>168</v>
      </c>
      <c r="D229" s="8" t="s">
        <v>169</v>
      </c>
      <c r="E229" s="8" t="s">
        <v>170</v>
      </c>
      <c r="F229" s="9">
        <v>46000</v>
      </c>
      <c r="G229" s="9"/>
      <c r="H229" s="8"/>
      <c r="I229" s="8" t="s">
        <v>173</v>
      </c>
      <c r="J229" s="31" t="str">
        <f>IFERROR(VLOOKUP(MUESTREO_LABORAL_A2[[#This Row],[ACTIVIDAD]],'Lista Maestra'!$D$6:$F$190,3,0),"")</f>
        <v>FACTURACIÓN</v>
      </c>
      <c r="K229" s="31" t="str">
        <f>IFERROR(VLOOKUP(MUESTREO_LABORAL_A2[[#This Row],[ACTIVIDAD]],'Lista Maestra'!$D$6:$F$190,2,0),"")</f>
        <v xml:space="preserve"> Cada inicio de semana llegan las facturas sean por Navieras - Depositos - Retiros - Inspeciones, confimamos que todas las facturas que nos lleguen esten facturadas con su razon social correcta y valores correctos. Esperamos el  detalle que envia el area de contabilidad para confirmar que todo se ingrese de manera correcta y dentro de los plazos del area financiera.</v>
      </c>
      <c r="L229" s="8" t="s">
        <v>22</v>
      </c>
      <c r="M229" s="8"/>
      <c r="N229" s="10">
        <v>0.4861111111111111</v>
      </c>
      <c r="O229" s="10">
        <v>0.5229166666666667</v>
      </c>
      <c r="P229" s="7">
        <f>IF(MUESTREO_LABORAL_A2[[#This Row],[TIEMPO INICIO]]="","",(MUESTREO_LABORAL_A2[[#This Row],[TIEMPO FIN]]-MUESTREO_LABORAL_A2[[#This Row],[TIEMPO INICIO]])*24)</f>
        <v>0.88333333333333419</v>
      </c>
      <c r="Q229" s="12"/>
      <c r="R229" s="12"/>
    </row>
    <row r="230" spans="2:18" ht="28.95" customHeight="1" x14ac:dyDescent="0.3">
      <c r="B230" s="2" t="s">
        <v>17</v>
      </c>
      <c r="C230" s="2" t="s">
        <v>168</v>
      </c>
      <c r="D230" s="8" t="s">
        <v>169</v>
      </c>
      <c r="E230" s="8" t="s">
        <v>170</v>
      </c>
      <c r="F230" s="9">
        <v>46000</v>
      </c>
      <c r="G230" s="9"/>
      <c r="H230" s="8"/>
      <c r="I230" s="8" t="s">
        <v>33</v>
      </c>
      <c r="J230" s="31" t="str">
        <f>IFERROR(VLOOKUP(MUESTREO_LABORAL_A2[[#This Row],[ACTIVIDAD]],'Lista Maestra'!$D$6:$F$190,3,0),"")</f>
        <v>ALIMENTACIÓN</v>
      </c>
      <c r="K230" s="31" t="str">
        <f>IFERROR(VLOOKUP(MUESTREO_LABORAL_A2[[#This Row],[ACTIVIDAD]],'Lista Maestra'!$D$6:$F$190,2,0),"")</f>
        <v>ALIMENTARSE</v>
      </c>
      <c r="L230" s="8" t="s">
        <v>33</v>
      </c>
      <c r="M230" s="8"/>
      <c r="N230" s="10">
        <v>0.5229166666666667</v>
      </c>
      <c r="O230" s="10">
        <v>0.5625</v>
      </c>
      <c r="P230" s="7">
        <f>IF(MUESTREO_LABORAL_A2[[#This Row],[TIEMPO INICIO]]="","",(MUESTREO_LABORAL_A2[[#This Row],[TIEMPO FIN]]-MUESTREO_LABORAL_A2[[#This Row],[TIEMPO INICIO]])*24)</f>
        <v>0.94999999999999929</v>
      </c>
      <c r="Q230" s="12"/>
      <c r="R230" s="12"/>
    </row>
    <row r="231" spans="2:18" ht="28.95" customHeight="1" x14ac:dyDescent="0.3">
      <c r="B231" s="2" t="s">
        <v>17</v>
      </c>
      <c r="C231" s="2" t="s">
        <v>168</v>
      </c>
      <c r="D231" s="8" t="s">
        <v>169</v>
      </c>
      <c r="E231" s="8" t="s">
        <v>170</v>
      </c>
      <c r="F231" s="9">
        <v>46000</v>
      </c>
      <c r="G231" s="9"/>
      <c r="H231" s="8"/>
      <c r="I231" s="8" t="s">
        <v>173</v>
      </c>
      <c r="J231" s="31" t="str">
        <f>IFERROR(VLOOKUP(MUESTREO_LABORAL_A2[[#This Row],[ACTIVIDAD]],'Lista Maestra'!$D$6:$F$190,3,0),"")</f>
        <v>FACTURACIÓN</v>
      </c>
      <c r="K231" s="31" t="str">
        <f>IFERROR(VLOOKUP(MUESTREO_LABORAL_A2[[#This Row],[ACTIVIDAD]],'Lista Maestra'!$D$6:$F$190,2,0),"")</f>
        <v xml:space="preserve"> Cada inicio de semana llegan las facturas sean por Navieras - Depositos - Retiros - Inspeciones, confimamos que todas las facturas que nos lleguen esten facturadas con su razon social correcta y valores correctos. Esperamos el  detalle que envia el area de contabilidad para confirmar que todo se ingrese de manera correcta y dentro de los plazos del area financiera.</v>
      </c>
      <c r="L231" s="8" t="s">
        <v>22</v>
      </c>
      <c r="M231" s="8"/>
      <c r="N231" s="10">
        <v>0.56944444444444442</v>
      </c>
      <c r="O231" s="10">
        <v>0.60347222222222219</v>
      </c>
      <c r="P231" s="7">
        <f>IF(MUESTREO_LABORAL_A2[[#This Row],[TIEMPO INICIO]]="","",(MUESTREO_LABORAL_A2[[#This Row],[TIEMPO FIN]]-MUESTREO_LABORAL_A2[[#This Row],[TIEMPO INICIO]])*24)</f>
        <v>0.81666666666666643</v>
      </c>
      <c r="Q231" s="12" t="s">
        <v>174</v>
      </c>
      <c r="R231" s="12"/>
    </row>
    <row r="232" spans="2:18" ht="28.95" customHeight="1" x14ac:dyDescent="0.3">
      <c r="B232" s="2" t="s">
        <v>17</v>
      </c>
      <c r="C232" s="2" t="s">
        <v>168</v>
      </c>
      <c r="D232" s="8" t="s">
        <v>169</v>
      </c>
      <c r="E232" s="8" t="s">
        <v>170</v>
      </c>
      <c r="F232" s="9">
        <v>46000</v>
      </c>
      <c r="G232" s="9"/>
      <c r="H232" s="8"/>
      <c r="I232" s="8" t="s">
        <v>175</v>
      </c>
      <c r="J232" s="31" t="str">
        <f>IFERROR(VLOOKUP(MUESTREO_LABORAL_A2[[#This Row],[ACTIVIDAD]],'Lista Maestra'!$D$6:$F$190,3,0),"")</f>
        <v>DIGITALIZACIONES</v>
      </c>
      <c r="K232" s="31" t="str">
        <f>IFERROR(VLOOKUP(MUESTREO_LABORAL_A2[[#This Row],[ACTIVIDAD]],'Lista Maestra'!$D$6:$F$190,2,0),"")</f>
        <v>Una vez regularizada las DAES de las navieras asignadas se recopila la siguentes informacion: DAE regularizada, factura, BLS , capture del estado regularizada en el ECUAPASS , se realiza  1 PDF con esos 4 documentos y se los coloca en la red.</v>
      </c>
      <c r="L232" s="8" t="s">
        <v>22</v>
      </c>
      <c r="M232" s="8"/>
      <c r="N232" s="10">
        <v>0.60347222222222219</v>
      </c>
      <c r="O232" s="10">
        <v>0.61805555555555558</v>
      </c>
      <c r="P232" s="7">
        <f>IF(MUESTREO_LABORAL_A2[[#This Row],[TIEMPO INICIO]]="","",(MUESTREO_LABORAL_A2[[#This Row],[TIEMPO FIN]]-MUESTREO_LABORAL_A2[[#This Row],[TIEMPO INICIO]])*24)</f>
        <v>0.35000000000000142</v>
      </c>
      <c r="Q232" s="12" t="s">
        <v>176</v>
      </c>
      <c r="R232" s="12"/>
    </row>
    <row r="233" spans="2:18" ht="28.95" customHeight="1" x14ac:dyDescent="0.3">
      <c r="B233" s="2" t="s">
        <v>17</v>
      </c>
      <c r="C233" s="2" t="s">
        <v>168</v>
      </c>
      <c r="D233" s="8" t="s">
        <v>169</v>
      </c>
      <c r="E233" s="8" t="s">
        <v>170</v>
      </c>
      <c r="F233" s="9">
        <v>46000</v>
      </c>
      <c r="G233" s="9"/>
      <c r="H233" s="8"/>
      <c r="I233" s="8" t="s">
        <v>177</v>
      </c>
      <c r="J233" s="31" t="str">
        <f>IFERROR(VLOOKUP(MUESTREO_LABORAL_A2[[#This Row],[ACTIVIDAD]],'Lista Maestra'!$D$6:$F$190,3,0),"")</f>
        <v>GESTIÓN DOCUMENTAL</v>
      </c>
      <c r="K233" s="31">
        <f>IFERROR(VLOOKUP(MUESTREO_LABORAL_A2[[#This Row],[ACTIVIDAD]],'Lista Maestra'!$D$6:$F$190,2,0),"")</f>
        <v>0</v>
      </c>
      <c r="L233" s="8" t="s">
        <v>22</v>
      </c>
      <c r="M233" s="8"/>
      <c r="N233" s="10">
        <v>0.62430555555555556</v>
      </c>
      <c r="O233" s="10">
        <v>0.70833333333333337</v>
      </c>
      <c r="P233" s="7">
        <f>IF(MUESTREO_LABORAL_A2[[#This Row],[TIEMPO INICIO]]="","",(MUESTREO_LABORAL_A2[[#This Row],[TIEMPO FIN]]-MUESTREO_LABORAL_A2[[#This Row],[TIEMPO INICIO]])*24)</f>
        <v>2.0166666666666675</v>
      </c>
      <c r="Q233" s="12"/>
      <c r="R233" s="12"/>
    </row>
    <row r="234" spans="2:18" ht="57.6" customHeight="1" x14ac:dyDescent="0.3">
      <c r="B234" s="2" t="s">
        <v>17</v>
      </c>
      <c r="C234" s="2" t="s">
        <v>168</v>
      </c>
      <c r="D234" s="8" t="s">
        <v>169</v>
      </c>
      <c r="E234" s="8" t="s">
        <v>170</v>
      </c>
      <c r="F234" s="9">
        <v>46001</v>
      </c>
      <c r="G234" s="9"/>
      <c r="H234" s="8"/>
      <c r="I234" s="8" t="s">
        <v>178</v>
      </c>
      <c r="J234" s="31" t="str">
        <f>IFERROR(VLOOKUP(MUESTREO_LABORAL_A2[[#This Row],[ACTIVIDAD]],'Lista Maestra'!$D$6:$F$190,3,0),"")</f>
        <v>PROFORMAS</v>
      </c>
      <c r="K234" s="31" t="str">
        <f>IFERROR(VLOOKUP(MUESTREO_LABORAL_A2[[#This Row],[ACTIVIDAD]],'Lista Maestra'!$D$6:$F$190,2,0),"")</f>
        <v>Se ingresa a las paginas web de la navieras asigandas y se coloca toda la informacion que van a llevar los contenedores de manera correcta , se ingresa las proformas dentro plazos documentales que cada naviera.</v>
      </c>
      <c r="L234" s="8" t="s">
        <v>22</v>
      </c>
      <c r="M234" s="8"/>
      <c r="N234" s="10">
        <v>0.36249999999999999</v>
      </c>
      <c r="O234" s="10">
        <v>0.43055555555555558</v>
      </c>
      <c r="P234" s="7">
        <f>IF(MUESTREO_LABORAL_A2[[#This Row],[TIEMPO INICIO]]="","",(MUESTREO_LABORAL_A2[[#This Row],[TIEMPO FIN]]-MUESTREO_LABORAL_A2[[#This Row],[TIEMPO INICIO]])*24)</f>
        <v>1.6333333333333342</v>
      </c>
      <c r="Q234" s="12" t="s">
        <v>179</v>
      </c>
      <c r="R234" s="12"/>
    </row>
    <row r="235" spans="2:18" ht="28.95" customHeight="1" x14ac:dyDescent="0.3">
      <c r="B235" s="2" t="s">
        <v>17</v>
      </c>
      <c r="C235" s="2" t="s">
        <v>168</v>
      </c>
      <c r="D235" s="8" t="s">
        <v>169</v>
      </c>
      <c r="E235" s="8" t="s">
        <v>170</v>
      </c>
      <c r="F235" s="9">
        <v>46001</v>
      </c>
      <c r="G235" s="9"/>
      <c r="H235" s="8"/>
      <c r="I235" s="8" t="s">
        <v>173</v>
      </c>
      <c r="J235" s="31" t="str">
        <f>IFERROR(VLOOKUP(MUESTREO_LABORAL_A2[[#This Row],[ACTIVIDAD]],'Lista Maestra'!$D$6:$F$190,3,0),"")</f>
        <v>FACTURACIÓN</v>
      </c>
      <c r="K235" s="31" t="str">
        <f>IFERROR(VLOOKUP(MUESTREO_LABORAL_A2[[#This Row],[ACTIVIDAD]],'Lista Maestra'!$D$6:$F$190,2,0),"")</f>
        <v xml:space="preserve"> Cada inicio de semana llegan las facturas sean por Navieras - Depositos - Retiros - Inspeciones, confimamos que todas las facturas que nos lleguen esten facturadas con su razon social correcta y valores correctos. Esperamos el  detalle que envia el area de contabilidad para confirmar que todo se ingrese de manera correcta y dentro de los plazos del area financiera.</v>
      </c>
      <c r="L235" s="8" t="s">
        <v>22</v>
      </c>
      <c r="M235" s="8"/>
      <c r="N235" s="10">
        <v>0.43055555555555558</v>
      </c>
      <c r="O235" s="10">
        <v>0.45694444444444438</v>
      </c>
      <c r="P235" s="7">
        <f>IF(MUESTREO_LABORAL_A2[[#This Row],[TIEMPO INICIO]]="","",(MUESTREO_LABORAL_A2[[#This Row],[TIEMPO FIN]]-MUESTREO_LABORAL_A2[[#This Row],[TIEMPO INICIO]])*24)</f>
        <v>0.63333333333333108</v>
      </c>
      <c r="Q235" s="12" t="s">
        <v>180</v>
      </c>
      <c r="R235" s="12"/>
    </row>
    <row r="236" spans="2:18" ht="28.95" customHeight="1" x14ac:dyDescent="0.3">
      <c r="B236" s="2" t="s">
        <v>17</v>
      </c>
      <c r="C236" s="2" t="s">
        <v>168</v>
      </c>
      <c r="D236" s="8" t="s">
        <v>169</v>
      </c>
      <c r="E236" s="8" t="s">
        <v>170</v>
      </c>
      <c r="F236" s="9">
        <v>46001</v>
      </c>
      <c r="G236" s="9"/>
      <c r="H236" s="8"/>
      <c r="I236" s="8" t="s">
        <v>181</v>
      </c>
      <c r="J236" s="31" t="str">
        <f>IFERROR(VLOOKUP(MUESTREO_LABORAL_A2[[#This Row],[ACTIVIDAD]],'Lista Maestra'!$D$6:$F$190,3,0),"")</f>
        <v>GESTIÓN DOCUMENTAL</v>
      </c>
      <c r="K236" s="31">
        <f>IFERROR(VLOOKUP(MUESTREO_LABORAL_A2[[#This Row],[ACTIVIDAD]],'Lista Maestra'!$D$6:$F$190,2,0),"")</f>
        <v>0</v>
      </c>
      <c r="L236" s="8" t="s">
        <v>22</v>
      </c>
      <c r="M236" s="8"/>
      <c r="N236" s="10">
        <v>0.45694444444444438</v>
      </c>
      <c r="O236" s="10">
        <v>0.50555555555555554</v>
      </c>
      <c r="P236" s="7">
        <f>IF(MUESTREO_LABORAL_A2[[#This Row],[TIEMPO INICIO]]="","",(MUESTREO_LABORAL_A2[[#This Row],[TIEMPO FIN]]-MUESTREO_LABORAL_A2[[#This Row],[TIEMPO INICIO]])*24)</f>
        <v>1.1666666666666679</v>
      </c>
      <c r="Q236" s="12" t="s">
        <v>182</v>
      </c>
      <c r="R236" s="12"/>
    </row>
    <row r="237" spans="2:18" ht="28.95" customHeight="1" x14ac:dyDescent="0.3">
      <c r="B237" s="2" t="s">
        <v>17</v>
      </c>
      <c r="C237" s="2" t="s">
        <v>168</v>
      </c>
      <c r="D237" s="8" t="s">
        <v>169</v>
      </c>
      <c r="E237" s="8" t="s">
        <v>170</v>
      </c>
      <c r="F237" s="9">
        <v>46001</v>
      </c>
      <c r="G237" s="9"/>
      <c r="H237" s="8"/>
      <c r="I237" s="8" t="s">
        <v>183</v>
      </c>
      <c r="J237" s="31" t="str">
        <f>IFERROR(VLOOKUP(MUESTREO_LABORAL_A2[[#This Row],[ACTIVIDAD]],'Lista Maestra'!$D$6:$F$190,3,0),"")</f>
        <v>GESTIÓN DOCUMENTAL</v>
      </c>
      <c r="K237" s="31">
        <f>IFERROR(VLOOKUP(MUESTREO_LABORAL_A2[[#This Row],[ACTIVIDAD]],'Lista Maestra'!$D$6:$F$190,2,0),"")</f>
        <v>0</v>
      </c>
      <c r="L237" s="8" t="s">
        <v>22</v>
      </c>
      <c r="M237" s="8"/>
      <c r="N237" s="10">
        <v>0.50555555555555554</v>
      </c>
      <c r="O237" s="10">
        <v>0.52916666666666667</v>
      </c>
      <c r="P237" s="7">
        <f>IF(MUESTREO_LABORAL_A2[[#This Row],[TIEMPO INICIO]]="","",(MUESTREO_LABORAL_A2[[#This Row],[TIEMPO FIN]]-MUESTREO_LABORAL_A2[[#This Row],[TIEMPO INICIO]])*24)</f>
        <v>0.56666666666666732</v>
      </c>
      <c r="Q237" s="12"/>
      <c r="R237" s="12"/>
    </row>
    <row r="238" spans="2:18" ht="28.95" customHeight="1" x14ac:dyDescent="0.3">
      <c r="B238" s="2" t="s">
        <v>17</v>
      </c>
      <c r="C238" s="2" t="s">
        <v>168</v>
      </c>
      <c r="D238" s="8" t="s">
        <v>169</v>
      </c>
      <c r="E238" s="8" t="s">
        <v>170</v>
      </c>
      <c r="F238" s="9">
        <v>46001</v>
      </c>
      <c r="G238" s="9"/>
      <c r="H238" s="8"/>
      <c r="I238" s="8" t="s">
        <v>33</v>
      </c>
      <c r="J238" s="31" t="str">
        <f>IFERROR(VLOOKUP(MUESTREO_LABORAL_A2[[#This Row],[ACTIVIDAD]],'Lista Maestra'!$D$6:$F$190,3,0),"")</f>
        <v>ALIMENTACIÓN</v>
      </c>
      <c r="K238" s="31" t="str">
        <f>IFERROR(VLOOKUP(MUESTREO_LABORAL_A2[[#This Row],[ACTIVIDAD]],'Lista Maestra'!$D$6:$F$190,2,0),"")</f>
        <v>ALIMENTARSE</v>
      </c>
      <c r="L238" s="8" t="s">
        <v>33</v>
      </c>
      <c r="M238" s="8"/>
      <c r="N238" s="10">
        <v>0.53055555555555556</v>
      </c>
      <c r="O238" s="10">
        <v>0.57222222222222219</v>
      </c>
      <c r="P238" s="7">
        <f>IF(MUESTREO_LABORAL_A2[[#This Row],[TIEMPO INICIO]]="","",(MUESTREO_LABORAL_A2[[#This Row],[TIEMPO FIN]]-MUESTREO_LABORAL_A2[[#This Row],[TIEMPO INICIO]])*24)</f>
        <v>0.99999999999999911</v>
      </c>
      <c r="Q238" s="12"/>
      <c r="R238" s="12"/>
    </row>
    <row r="239" spans="2:18" ht="28.95" customHeight="1" x14ac:dyDescent="0.3">
      <c r="B239" s="2" t="s">
        <v>17</v>
      </c>
      <c r="C239" s="2" t="s">
        <v>168</v>
      </c>
      <c r="D239" s="8" t="s">
        <v>169</v>
      </c>
      <c r="E239" s="8" t="s">
        <v>170</v>
      </c>
      <c r="F239" s="9">
        <v>46001</v>
      </c>
      <c r="G239" s="9"/>
      <c r="H239" s="8"/>
      <c r="I239" s="8" t="s">
        <v>184</v>
      </c>
      <c r="J239" s="31" t="str">
        <f>IFERROR(VLOOKUP(MUESTREO_LABORAL_A2[[#This Row],[ACTIVIDAD]],'Lista Maestra'!$D$6:$F$190,3,0),"")</f>
        <v>VERIFICACIÓN</v>
      </c>
      <c r="K239" s="31">
        <f>IFERROR(VLOOKUP(MUESTREO_LABORAL_A2[[#This Row],[ACTIVIDAD]],'Lista Maestra'!$D$6:$F$190,2,0),"")</f>
        <v>0</v>
      </c>
      <c r="L239" s="8" t="s">
        <v>22</v>
      </c>
      <c r="M239" s="8"/>
      <c r="N239" s="10">
        <v>0.57222222222222219</v>
      </c>
      <c r="O239" s="10">
        <v>0.59722222222222221</v>
      </c>
      <c r="P239" s="7">
        <f>IF(MUESTREO_LABORAL_A2[[#This Row],[TIEMPO INICIO]]="","",(MUESTREO_LABORAL_A2[[#This Row],[TIEMPO FIN]]-MUESTREO_LABORAL_A2[[#This Row],[TIEMPO INICIO]])*24)</f>
        <v>0.60000000000000053</v>
      </c>
      <c r="Q239" s="12"/>
      <c r="R239" s="12"/>
    </row>
    <row r="240" spans="2:18" ht="28.95" customHeight="1" x14ac:dyDescent="0.3">
      <c r="B240" s="2" t="s">
        <v>17</v>
      </c>
      <c r="C240" s="2" t="s">
        <v>168</v>
      </c>
      <c r="D240" s="8" t="s">
        <v>169</v>
      </c>
      <c r="E240" s="8" t="s">
        <v>170</v>
      </c>
      <c r="F240" s="9">
        <v>46001</v>
      </c>
      <c r="G240" s="9"/>
      <c r="H240" s="8"/>
      <c r="I240" s="8" t="s">
        <v>178</v>
      </c>
      <c r="J240" s="31" t="str">
        <f>IFERROR(VLOOKUP(MUESTREO_LABORAL_A2[[#This Row],[ACTIVIDAD]],'Lista Maestra'!$D$6:$F$190,3,0),"")</f>
        <v>PROFORMAS</v>
      </c>
      <c r="K240" s="31" t="str">
        <f>IFERROR(VLOOKUP(MUESTREO_LABORAL_A2[[#This Row],[ACTIVIDAD]],'Lista Maestra'!$D$6:$F$190,2,0),"")</f>
        <v>Se ingresa a las paginas web de la navieras asigandas y se coloca toda la informacion que van a llevar los contenedores de manera correcta , se ingresa las proformas dentro plazos documentales que cada naviera.</v>
      </c>
      <c r="L240" s="8" t="s">
        <v>22</v>
      </c>
      <c r="M240" s="8"/>
      <c r="N240" s="10">
        <v>0.59722222222222221</v>
      </c>
      <c r="O240" s="10">
        <v>0.63055555555555554</v>
      </c>
      <c r="P240" s="7">
        <f>IF(MUESTREO_LABORAL_A2[[#This Row],[TIEMPO INICIO]]="","",(MUESTREO_LABORAL_A2[[#This Row],[TIEMPO FIN]]-MUESTREO_LABORAL_A2[[#This Row],[TIEMPO INICIO]])*24)</f>
        <v>0.79999999999999982</v>
      </c>
      <c r="Q240" s="12"/>
      <c r="R240" s="12"/>
    </row>
    <row r="241" spans="2:18" ht="28.95" customHeight="1" x14ac:dyDescent="0.3">
      <c r="B241" s="2" t="s">
        <v>17</v>
      </c>
      <c r="C241" s="2" t="s">
        <v>168</v>
      </c>
      <c r="D241" s="8" t="s">
        <v>169</v>
      </c>
      <c r="E241" s="8" t="s">
        <v>170</v>
      </c>
      <c r="F241" s="9">
        <v>46001</v>
      </c>
      <c r="G241" s="9"/>
      <c r="H241" s="8"/>
      <c r="I241" s="8" t="s">
        <v>185</v>
      </c>
      <c r="J241" s="31" t="str">
        <f>IFERROR(VLOOKUP(MUESTREO_LABORAL_A2[[#This Row],[ACTIVIDAD]],'Lista Maestra'!$D$6:$F$190,3,0),"")</f>
        <v>GESTIÓN NAVIERA</v>
      </c>
      <c r="K241" s="31">
        <f>IFERROR(VLOOKUP(MUESTREO_LABORAL_A2[[#This Row],[ACTIVIDAD]],'Lista Maestra'!$D$6:$F$190,2,0),"")</f>
        <v>0</v>
      </c>
      <c r="L241" s="8" t="s">
        <v>22</v>
      </c>
      <c r="M241" s="8"/>
      <c r="N241" s="10">
        <v>0.63194444444444442</v>
      </c>
      <c r="O241" s="10">
        <v>0.66874999999999996</v>
      </c>
      <c r="P241" s="7">
        <f>IF(MUESTREO_LABORAL_A2[[#This Row],[TIEMPO INICIO]]="","",(MUESTREO_LABORAL_A2[[#This Row],[TIEMPO FIN]]-MUESTREO_LABORAL_A2[[#This Row],[TIEMPO INICIO]])*24)</f>
        <v>0.88333333333333286</v>
      </c>
      <c r="Q241" s="12"/>
      <c r="R241" s="12"/>
    </row>
    <row r="242" spans="2:18" ht="28.95" customHeight="1" x14ac:dyDescent="0.3">
      <c r="B242" s="2" t="s">
        <v>17</v>
      </c>
      <c r="C242" s="2" t="s">
        <v>168</v>
      </c>
      <c r="D242" s="8" t="s">
        <v>169</v>
      </c>
      <c r="E242" s="8" t="s">
        <v>170</v>
      </c>
      <c r="F242" s="9">
        <v>46001</v>
      </c>
      <c r="G242" s="9"/>
      <c r="H242" s="8"/>
      <c r="I242" s="8" t="s">
        <v>173</v>
      </c>
      <c r="J242" s="31" t="str">
        <f>IFERROR(VLOOKUP(MUESTREO_LABORAL_A2[[#This Row],[ACTIVIDAD]],'Lista Maestra'!$D$6:$F$190,3,0),"")</f>
        <v>FACTURACIÓN</v>
      </c>
      <c r="K242" s="31" t="str">
        <f>IFERROR(VLOOKUP(MUESTREO_LABORAL_A2[[#This Row],[ACTIVIDAD]],'Lista Maestra'!$D$6:$F$190,2,0),"")</f>
        <v xml:space="preserve"> Cada inicio de semana llegan las facturas sean por Navieras - Depositos - Retiros - Inspeciones, confimamos que todas las facturas que nos lleguen esten facturadas con su razon social correcta y valores correctos. Esperamos el  detalle que envia el area de contabilidad para confirmar que todo se ingrese de manera correcta y dentro de los plazos del area financiera.</v>
      </c>
      <c r="L242" s="8" t="s">
        <v>22</v>
      </c>
      <c r="M242" s="8"/>
      <c r="N242" s="10">
        <v>0.66874999999999996</v>
      </c>
      <c r="O242" s="10">
        <v>0.70833333333333337</v>
      </c>
      <c r="P242" s="7">
        <f>IF(MUESTREO_LABORAL_A2[[#This Row],[TIEMPO INICIO]]="","",(MUESTREO_LABORAL_A2[[#This Row],[TIEMPO FIN]]-MUESTREO_LABORAL_A2[[#This Row],[TIEMPO INICIO]])*24)</f>
        <v>0.95000000000000195</v>
      </c>
      <c r="Q242" s="12"/>
      <c r="R242" s="12"/>
    </row>
    <row r="243" spans="2:18" ht="43.2" customHeight="1" x14ac:dyDescent="0.3">
      <c r="B243" s="2" t="s">
        <v>17</v>
      </c>
      <c r="C243" s="2" t="s">
        <v>168</v>
      </c>
      <c r="D243" s="8" t="s">
        <v>169</v>
      </c>
      <c r="E243" s="8" t="s">
        <v>170</v>
      </c>
      <c r="F243" s="9">
        <v>46002</v>
      </c>
      <c r="G243" s="9"/>
      <c r="H243" s="8"/>
      <c r="I243" s="8" t="s">
        <v>186</v>
      </c>
      <c r="J243" s="31" t="str">
        <f>IFERROR(VLOOKUP(MUESTREO_LABORAL_A2[[#This Row],[ACTIVIDAD]],'Lista Maestra'!$D$6:$F$190,3,0),"")</f>
        <v>GESTIÓN DOCUMENTAL</v>
      </c>
      <c r="K243" s="31" t="str">
        <f>IFERROR(VLOOKUP(MUESTREO_LABORAL_A2[[#This Row],[ACTIVIDAD]],'Lista Maestra'!$D$6:$F$190,2,0),"")</f>
        <v>Una ves que todos los contenedores ingresen al puerto, se revisa y se confirma que hayan sido ingresado de manera corrrecta de acuerdo a su respectiva DAE y se comunica la Salida Autorizada por cada cliente de cada naviera.</v>
      </c>
      <c r="L243" s="8" t="s">
        <v>22</v>
      </c>
      <c r="M243" s="8"/>
      <c r="N243" s="10">
        <v>0.35625000000000001</v>
      </c>
      <c r="O243" s="10">
        <v>0.43402777777777779</v>
      </c>
      <c r="P243" s="7">
        <f>IF(MUESTREO_LABORAL_A2[[#This Row],[TIEMPO INICIO]]="","",(MUESTREO_LABORAL_A2[[#This Row],[TIEMPO FIN]]-MUESTREO_LABORAL_A2[[#This Row],[TIEMPO INICIO]])*24)</f>
        <v>1.8666666666666667</v>
      </c>
      <c r="Q243" s="12" t="s">
        <v>187</v>
      </c>
      <c r="R243" s="12"/>
    </row>
    <row r="244" spans="2:18" ht="28.95" customHeight="1" x14ac:dyDescent="0.3">
      <c r="B244" s="2" t="s">
        <v>17</v>
      </c>
      <c r="C244" s="2" t="s">
        <v>168</v>
      </c>
      <c r="D244" s="8" t="s">
        <v>169</v>
      </c>
      <c r="E244" s="8" t="s">
        <v>170</v>
      </c>
      <c r="F244" s="9">
        <v>46002</v>
      </c>
      <c r="G244" s="9"/>
      <c r="H244" s="8"/>
      <c r="I244" s="8" t="s">
        <v>173</v>
      </c>
      <c r="J244" s="31" t="str">
        <f>IFERROR(VLOOKUP(MUESTREO_LABORAL_A2[[#This Row],[ACTIVIDAD]],'Lista Maestra'!$D$6:$F$190,3,0),"")</f>
        <v>FACTURACIÓN</v>
      </c>
      <c r="K244" s="31" t="str">
        <f>IFERROR(VLOOKUP(MUESTREO_LABORAL_A2[[#This Row],[ACTIVIDAD]],'Lista Maestra'!$D$6:$F$190,2,0),"")</f>
        <v xml:space="preserve"> Cada inicio de semana llegan las facturas sean por Navieras - Depositos - Retiros - Inspeciones, confimamos que todas las facturas que nos lleguen esten facturadas con su razon social correcta y valores correctos. Esperamos el  detalle que envia el area de contabilidad para confirmar que todo se ingrese de manera correcta y dentro de los plazos del area financiera.</v>
      </c>
      <c r="L244" s="8" t="s">
        <v>22</v>
      </c>
      <c r="M244" s="8"/>
      <c r="N244" s="10">
        <v>0.43402777777777779</v>
      </c>
      <c r="O244" s="10">
        <v>0.46041666666666659</v>
      </c>
      <c r="P244" s="7">
        <f>IF(MUESTREO_LABORAL_A2[[#This Row],[TIEMPO INICIO]]="","",(MUESTREO_LABORAL_A2[[#This Row],[TIEMPO FIN]]-MUESTREO_LABORAL_A2[[#This Row],[TIEMPO INICIO]])*24)</f>
        <v>0.63333333333333108</v>
      </c>
      <c r="Q244" s="12"/>
      <c r="R244" s="12"/>
    </row>
    <row r="245" spans="2:18" ht="28.95" customHeight="1" x14ac:dyDescent="0.3">
      <c r="B245" s="2" t="s">
        <v>17</v>
      </c>
      <c r="C245" s="2" t="s">
        <v>168</v>
      </c>
      <c r="D245" s="8" t="s">
        <v>169</v>
      </c>
      <c r="E245" s="8" t="s">
        <v>170</v>
      </c>
      <c r="F245" s="9">
        <v>46002</v>
      </c>
      <c r="G245" s="9"/>
      <c r="H245" s="8"/>
      <c r="I245" s="8" t="s">
        <v>188</v>
      </c>
      <c r="J245" s="31" t="str">
        <f>IFERROR(VLOOKUP(MUESTREO_LABORAL_A2[[#This Row],[ACTIVIDAD]],'Lista Maestra'!$D$6:$F$190,3,0),"")</f>
        <v>GESTIÓN DOCUMENTAL</v>
      </c>
      <c r="K245" s="31" t="str">
        <f>IFERROR(VLOOKUP(MUESTREO_LABORAL_A2[[#This Row],[ACTIVIDAD]],'Lista Maestra'!$D$6:$F$190,2,0),"")</f>
        <v>Corregir la informacion que nos envia la naviera de los BLS finales, tomando la informacion de los cierres de contenedores semanales (FTL)</v>
      </c>
      <c r="L245" s="8" t="s">
        <v>22</v>
      </c>
      <c r="M245" s="8"/>
      <c r="N245" s="10">
        <v>0.46041666666666659</v>
      </c>
      <c r="O245" s="10">
        <v>0.52847222222222223</v>
      </c>
      <c r="P245" s="7">
        <f>IF(MUESTREO_LABORAL_A2[[#This Row],[TIEMPO INICIO]]="","",(MUESTREO_LABORAL_A2[[#This Row],[TIEMPO FIN]]-MUESTREO_LABORAL_A2[[#This Row],[TIEMPO INICIO]])*24)</f>
        <v>1.6333333333333355</v>
      </c>
      <c r="Q245" s="12" t="s">
        <v>189</v>
      </c>
      <c r="R245" s="12"/>
    </row>
    <row r="246" spans="2:18" ht="28.95" customHeight="1" x14ac:dyDescent="0.3">
      <c r="B246" s="2" t="s">
        <v>17</v>
      </c>
      <c r="C246" s="2" t="s">
        <v>168</v>
      </c>
      <c r="D246" s="8" t="s">
        <v>169</v>
      </c>
      <c r="E246" s="8" t="s">
        <v>170</v>
      </c>
      <c r="F246" s="9">
        <v>46002</v>
      </c>
      <c r="G246" s="9"/>
      <c r="H246" s="8"/>
      <c r="I246" s="8" t="s">
        <v>33</v>
      </c>
      <c r="J246" s="31" t="str">
        <f>IFERROR(VLOOKUP(MUESTREO_LABORAL_A2[[#This Row],[ACTIVIDAD]],'Lista Maestra'!$D$6:$F$190,3,0),"")</f>
        <v>ALIMENTACIÓN</v>
      </c>
      <c r="K246" s="31" t="str">
        <f>IFERROR(VLOOKUP(MUESTREO_LABORAL_A2[[#This Row],[ACTIVIDAD]],'Lista Maestra'!$D$6:$F$190,2,0),"")</f>
        <v>ALIMENTARSE</v>
      </c>
      <c r="L246" s="8" t="s">
        <v>33</v>
      </c>
      <c r="M246" s="8"/>
      <c r="N246" s="10">
        <v>0.52847222222222223</v>
      </c>
      <c r="O246" s="10">
        <v>0.57013888888888886</v>
      </c>
      <c r="P246" s="7">
        <f>IF(MUESTREO_LABORAL_A2[[#This Row],[TIEMPO INICIO]]="","",(MUESTREO_LABORAL_A2[[#This Row],[TIEMPO FIN]]-MUESTREO_LABORAL_A2[[#This Row],[TIEMPO INICIO]])*24)</f>
        <v>0.99999999999999911</v>
      </c>
      <c r="Q246" s="12"/>
      <c r="R246" s="12"/>
    </row>
    <row r="247" spans="2:18" ht="28.95" customHeight="1" x14ac:dyDescent="0.3">
      <c r="B247" s="2" t="s">
        <v>17</v>
      </c>
      <c r="C247" s="2" t="s">
        <v>168</v>
      </c>
      <c r="D247" s="8" t="s">
        <v>169</v>
      </c>
      <c r="E247" s="8" t="s">
        <v>170</v>
      </c>
      <c r="F247" s="9">
        <v>46002</v>
      </c>
      <c r="G247" s="9"/>
      <c r="H247" s="8"/>
      <c r="I247" s="8" t="s">
        <v>188</v>
      </c>
      <c r="J247" s="31" t="str">
        <f>IFERROR(VLOOKUP(MUESTREO_LABORAL_A2[[#This Row],[ACTIVIDAD]],'Lista Maestra'!$D$6:$F$190,3,0),"")</f>
        <v>GESTIÓN DOCUMENTAL</v>
      </c>
      <c r="K247" s="31" t="str">
        <f>IFERROR(VLOOKUP(MUESTREO_LABORAL_A2[[#This Row],[ACTIVIDAD]],'Lista Maestra'!$D$6:$F$190,2,0),"")</f>
        <v>Corregir la informacion que nos envia la naviera de los BLS finales, tomando la informacion de los cierres de contenedores semanales (FTL)</v>
      </c>
      <c r="L247" s="8" t="s">
        <v>22</v>
      </c>
      <c r="M247" s="8"/>
      <c r="N247" s="10">
        <v>0.57013888888888886</v>
      </c>
      <c r="O247" s="10">
        <v>0.6694444444444444</v>
      </c>
      <c r="P247" s="7">
        <f>IF(MUESTREO_LABORAL_A2[[#This Row],[TIEMPO INICIO]]="","",(MUESTREO_LABORAL_A2[[#This Row],[TIEMPO FIN]]-MUESTREO_LABORAL_A2[[#This Row],[TIEMPO INICIO]])*24)</f>
        <v>2.3833333333333329</v>
      </c>
      <c r="Q247" s="12"/>
      <c r="R247" s="12"/>
    </row>
    <row r="248" spans="2:18" ht="28.95" customHeight="1" x14ac:dyDescent="0.3">
      <c r="B248" s="2" t="s">
        <v>17</v>
      </c>
      <c r="C248" s="2" t="s">
        <v>168</v>
      </c>
      <c r="D248" s="8" t="s">
        <v>169</v>
      </c>
      <c r="E248" s="8" t="s">
        <v>170</v>
      </c>
      <c r="F248" s="9">
        <v>46002</v>
      </c>
      <c r="G248" s="9"/>
      <c r="H248" s="8"/>
      <c r="I248" s="8" t="s">
        <v>190</v>
      </c>
      <c r="J248" s="31" t="str">
        <f>IFERROR(VLOOKUP(MUESTREO_LABORAL_A2[[#This Row],[ACTIVIDAD]],'Lista Maestra'!$D$6:$F$190,3,0),"")</f>
        <v>GESTIÓN DOCUMENTAL</v>
      </c>
      <c r="K248" s="31" t="str">
        <f>IFERROR(VLOOKUP(MUESTREO_LABORAL_A2[[#This Row],[ACTIVIDAD]],'Lista Maestra'!$D$6:$F$190,2,0),"")</f>
        <v>Cuando hayan concluido con las programaciones de cada naviera, esta informacion se envia por medio de correo al Notify, donde se ingresa toda la informacion referente al embarque de acuerdo con los plazos documentales se realiza la generacion de ISF en plantillas de Excel.</v>
      </c>
      <c r="L248" s="8" t="s">
        <v>22</v>
      </c>
      <c r="M248" s="8"/>
      <c r="N248" s="10">
        <v>0.6694444444444444</v>
      </c>
      <c r="O248" s="10">
        <v>0.68819444444444444</v>
      </c>
      <c r="P248" s="7">
        <f>IF(MUESTREO_LABORAL_A2[[#This Row],[TIEMPO INICIO]]="","",(MUESTREO_LABORAL_A2[[#This Row],[TIEMPO FIN]]-MUESTREO_LABORAL_A2[[#This Row],[TIEMPO INICIO]])*24)</f>
        <v>0.45000000000000107</v>
      </c>
      <c r="Q248" s="12"/>
      <c r="R248" s="12"/>
    </row>
    <row r="249" spans="2:18" ht="28.95" customHeight="1" x14ac:dyDescent="0.3">
      <c r="B249" s="2" t="s">
        <v>17</v>
      </c>
      <c r="C249" s="2" t="s">
        <v>168</v>
      </c>
      <c r="D249" s="8" t="s">
        <v>169</v>
      </c>
      <c r="E249" s="8" t="s">
        <v>170</v>
      </c>
      <c r="F249" s="9">
        <v>46002</v>
      </c>
      <c r="G249" s="9"/>
      <c r="H249" s="8"/>
      <c r="I249" s="8" t="s">
        <v>191</v>
      </c>
      <c r="J249" s="31" t="str">
        <f>IFERROR(VLOOKUP(MUESTREO_LABORAL_A2[[#This Row],[ACTIVIDAD]],'Lista Maestra'!$D$6:$F$190,3,0),"")</f>
        <v>GESTIÓN DOCUMENTAL</v>
      </c>
      <c r="K249" s="31" t="str">
        <f>IFERROR(VLOOKUP(MUESTREO_LABORAL_A2[[#This Row],[ACTIVIDAD]],'Lista Maestra'!$D$6:$F$190,2,0),"")</f>
        <v xml:space="preserve">Tomamos la informacion de los pedidos semanales y confirmamos con la programacion la cantidad de contendores que vamos a exportar esa semana para asi poder generar las DAES </v>
      </c>
      <c r="L249" s="8" t="s">
        <v>22</v>
      </c>
      <c r="M249" s="8"/>
      <c r="N249" s="10">
        <v>0.68819444444444444</v>
      </c>
      <c r="O249" s="10">
        <v>0.70625000000000004</v>
      </c>
      <c r="P249" s="7">
        <f>IF(MUESTREO_LABORAL_A2[[#This Row],[TIEMPO INICIO]]="","",(MUESTREO_LABORAL_A2[[#This Row],[TIEMPO FIN]]-MUESTREO_LABORAL_A2[[#This Row],[TIEMPO INICIO]])*24)</f>
        <v>0.43333333333333446</v>
      </c>
      <c r="Q249" s="12"/>
      <c r="R249" s="12"/>
    </row>
    <row r="250" spans="2:18" ht="28.95" customHeight="1" x14ac:dyDescent="0.3">
      <c r="B250" s="2" t="s">
        <v>17</v>
      </c>
      <c r="C250" s="2" t="s">
        <v>168</v>
      </c>
      <c r="D250" s="8" t="s">
        <v>169</v>
      </c>
      <c r="E250" s="8" t="s">
        <v>170</v>
      </c>
      <c r="F250" s="9">
        <v>46003</v>
      </c>
      <c r="G250" s="9"/>
      <c r="H250" s="8"/>
      <c r="I250" s="8" t="s">
        <v>192</v>
      </c>
      <c r="J250" s="31" t="str">
        <f>IFERROR(VLOOKUP(MUESTREO_LABORAL_A2[[#This Row],[ACTIVIDAD]],'Lista Maestra'!$D$6:$F$190,3,0),"")</f>
        <v>SOPORTE</v>
      </c>
      <c r="K250" s="31" t="str">
        <f>IFERROR(VLOOKUP(MUESTREO_LABORAL_A2[[#This Row],[ACTIVIDAD]],'Lista Maestra'!$D$6:$F$190,2,0),"")</f>
        <v>SOPORTE EN DOCUMENTOS FITOSANITARIOS</v>
      </c>
      <c r="L250" s="8" t="s">
        <v>22</v>
      </c>
      <c r="M250" s="8"/>
      <c r="N250" s="10">
        <v>0.35416666666666669</v>
      </c>
      <c r="O250" s="10">
        <v>0.39861111111111108</v>
      </c>
      <c r="P250" s="7">
        <f>IF(MUESTREO_LABORAL_A2[[#This Row],[TIEMPO INICIO]]="","",(MUESTREO_LABORAL_A2[[#This Row],[TIEMPO FIN]]-MUESTREO_LABORAL_A2[[#This Row],[TIEMPO INICIO]])*24)</f>
        <v>1.0666666666666655</v>
      </c>
      <c r="Q250" s="12" t="s">
        <v>193</v>
      </c>
      <c r="R250" s="12"/>
    </row>
    <row r="251" spans="2:18" ht="28.95" customHeight="1" x14ac:dyDescent="0.3">
      <c r="B251" s="2" t="s">
        <v>17</v>
      </c>
      <c r="C251" s="2" t="s">
        <v>168</v>
      </c>
      <c r="D251" s="8" t="s">
        <v>169</v>
      </c>
      <c r="E251" s="8" t="s">
        <v>170</v>
      </c>
      <c r="F251" s="9">
        <v>46003</v>
      </c>
      <c r="G251" s="9"/>
      <c r="H251" s="8"/>
      <c r="I251" s="8" t="s">
        <v>171</v>
      </c>
      <c r="J251" s="31" t="str">
        <f>IFERROR(VLOOKUP(MUESTREO_LABORAL_A2[[#This Row],[ACTIVIDAD]],'Lista Maestra'!$D$6:$F$190,3,0),"")</f>
        <v>GESTIÓN DOCUMENTAL</v>
      </c>
      <c r="K251" s="31" t="str">
        <f>IFERROR(VLOOKUP(MUESTREO_LABORAL_A2[[#This Row],[ACTIVIDAD]],'Lista Maestra'!$D$6:$F$190,2,0),"")</f>
        <v>Se declara ante la SENAE la informacion final que se obtiene cuando la semana de exportacion culmina debe estar lista la informacion ,factura , Cierres de planes de embarque para poder declara la informacion correcta de lo que se exporto.</v>
      </c>
      <c r="L251" s="8" t="s">
        <v>22</v>
      </c>
      <c r="M251" s="8"/>
      <c r="N251" s="10">
        <v>0.39861111111111108</v>
      </c>
      <c r="O251" s="10">
        <v>0.40833333333333333</v>
      </c>
      <c r="P251" s="7">
        <f>IF(MUESTREO_LABORAL_A2[[#This Row],[TIEMPO INICIO]]="","",(MUESTREO_LABORAL_A2[[#This Row],[TIEMPO FIN]]-MUESTREO_LABORAL_A2[[#This Row],[TIEMPO INICIO]])*24)</f>
        <v>0.23333333333333384</v>
      </c>
      <c r="Q251" s="12"/>
      <c r="R251" s="12"/>
    </row>
    <row r="252" spans="2:18" ht="28.95" customHeight="1" x14ac:dyDescent="0.3">
      <c r="B252" s="2" t="s">
        <v>17</v>
      </c>
      <c r="C252" s="2" t="s">
        <v>168</v>
      </c>
      <c r="D252" s="8" t="s">
        <v>169</v>
      </c>
      <c r="E252" s="8" t="s">
        <v>170</v>
      </c>
      <c r="F252" s="9">
        <v>46003</v>
      </c>
      <c r="G252" s="9"/>
      <c r="H252" s="8"/>
      <c r="I252" s="8" t="s">
        <v>192</v>
      </c>
      <c r="J252" s="31" t="str">
        <f>IFERROR(VLOOKUP(MUESTREO_LABORAL_A2[[#This Row],[ACTIVIDAD]],'Lista Maestra'!$D$6:$F$190,3,0),"")</f>
        <v>SOPORTE</v>
      </c>
      <c r="K252" s="31" t="str">
        <f>IFERROR(VLOOKUP(MUESTREO_LABORAL_A2[[#This Row],[ACTIVIDAD]],'Lista Maestra'!$D$6:$F$190,2,0),"")</f>
        <v>SOPORTE EN DOCUMENTOS FITOSANITARIOS</v>
      </c>
      <c r="L252" s="8" t="s">
        <v>22</v>
      </c>
      <c r="M252" s="8"/>
      <c r="N252" s="10">
        <v>0.40833333333333333</v>
      </c>
      <c r="O252" s="10">
        <v>0.44444444444444442</v>
      </c>
      <c r="P252" s="7">
        <f>IF(MUESTREO_LABORAL_A2[[#This Row],[TIEMPO INICIO]]="","",(MUESTREO_LABORAL_A2[[#This Row],[TIEMPO FIN]]-MUESTREO_LABORAL_A2[[#This Row],[TIEMPO INICIO]])*24)</f>
        <v>0.86666666666666625</v>
      </c>
      <c r="Q252" s="12" t="s">
        <v>194</v>
      </c>
      <c r="R252" s="12"/>
    </row>
    <row r="253" spans="2:18" ht="28.95" customHeight="1" x14ac:dyDescent="0.3">
      <c r="B253" s="2" t="s">
        <v>17</v>
      </c>
      <c r="C253" s="2" t="s">
        <v>168</v>
      </c>
      <c r="D253" s="8" t="s">
        <v>169</v>
      </c>
      <c r="E253" s="8" t="s">
        <v>170</v>
      </c>
      <c r="F253" s="9">
        <v>46003</v>
      </c>
      <c r="G253" s="9"/>
      <c r="H253" s="8"/>
      <c r="I253" s="8" t="s">
        <v>195</v>
      </c>
      <c r="J253" s="31" t="str">
        <f>IFERROR(VLOOKUP(MUESTREO_LABORAL_A2[[#This Row],[ACTIVIDAD]],'Lista Maestra'!$D$6:$F$190,3,0),"")</f>
        <v>GESTIÓN DOCUMENTAL</v>
      </c>
      <c r="K253" s="31">
        <f>IFERROR(VLOOKUP(MUESTREO_LABORAL_A2[[#This Row],[ACTIVIDAD]],'Lista Maestra'!$D$6:$F$190,2,0),"")</f>
        <v>0</v>
      </c>
      <c r="L253" s="8" t="s">
        <v>22</v>
      </c>
      <c r="M253" s="8"/>
      <c r="N253" s="10">
        <v>0.44444444444444442</v>
      </c>
      <c r="O253" s="10">
        <v>0.53472222222222221</v>
      </c>
      <c r="P253" s="7">
        <f>IF(MUESTREO_LABORAL_A2[[#This Row],[TIEMPO INICIO]]="","",(MUESTREO_LABORAL_A2[[#This Row],[TIEMPO FIN]]-MUESTREO_LABORAL_A2[[#This Row],[TIEMPO INICIO]])*24)</f>
        <v>2.166666666666667</v>
      </c>
      <c r="Q253" s="12"/>
      <c r="R253" s="12"/>
    </row>
    <row r="254" spans="2:18" ht="28.95" customHeight="1" x14ac:dyDescent="0.3">
      <c r="B254" s="2" t="s">
        <v>17</v>
      </c>
      <c r="C254" s="2" t="s">
        <v>168</v>
      </c>
      <c r="D254" s="8" t="s">
        <v>169</v>
      </c>
      <c r="E254" s="8" t="s">
        <v>170</v>
      </c>
      <c r="F254" s="9">
        <v>46003</v>
      </c>
      <c r="G254" s="9"/>
      <c r="H254" s="8"/>
      <c r="I254" s="8" t="s">
        <v>33</v>
      </c>
      <c r="J254" s="31" t="str">
        <f>IFERROR(VLOOKUP(MUESTREO_LABORAL_A2[[#This Row],[ACTIVIDAD]],'Lista Maestra'!$D$6:$F$190,3,0),"")</f>
        <v>ALIMENTACIÓN</v>
      </c>
      <c r="K254" s="31" t="str">
        <f>IFERROR(VLOOKUP(MUESTREO_LABORAL_A2[[#This Row],[ACTIVIDAD]],'Lista Maestra'!$D$6:$F$190,2,0),"")</f>
        <v>ALIMENTARSE</v>
      </c>
      <c r="L254" s="8" t="s">
        <v>33</v>
      </c>
      <c r="M254" s="8"/>
      <c r="N254" s="10">
        <v>0.53472222222222221</v>
      </c>
      <c r="O254" s="10">
        <v>0.55833333333333335</v>
      </c>
      <c r="P254" s="7">
        <f>IF(MUESTREO_LABORAL_A2[[#This Row],[TIEMPO INICIO]]="","",(MUESTREO_LABORAL_A2[[#This Row],[TIEMPO FIN]]-MUESTREO_LABORAL_A2[[#This Row],[TIEMPO INICIO]])*24)</f>
        <v>0.56666666666666732</v>
      </c>
      <c r="Q254" s="12"/>
      <c r="R254" s="12"/>
    </row>
    <row r="255" spans="2:18" ht="28.95" customHeight="1" x14ac:dyDescent="0.3">
      <c r="B255" s="2" t="s">
        <v>17</v>
      </c>
      <c r="C255" s="2" t="s">
        <v>168</v>
      </c>
      <c r="D255" s="8" t="s">
        <v>169</v>
      </c>
      <c r="E255" s="8" t="s">
        <v>170</v>
      </c>
      <c r="F255" s="9">
        <v>46003</v>
      </c>
      <c r="G255" s="9"/>
      <c r="H255" s="8"/>
      <c r="I255" s="8" t="s">
        <v>195</v>
      </c>
      <c r="J255" s="31" t="str">
        <f>IFERROR(VLOOKUP(MUESTREO_LABORAL_A2[[#This Row],[ACTIVIDAD]],'Lista Maestra'!$D$6:$F$190,3,0),"")</f>
        <v>GESTIÓN DOCUMENTAL</v>
      </c>
      <c r="K255" s="31">
        <f>IFERROR(VLOOKUP(MUESTREO_LABORAL_A2[[#This Row],[ACTIVIDAD]],'Lista Maestra'!$D$6:$F$190,2,0),"")</f>
        <v>0</v>
      </c>
      <c r="L255" s="8" t="s">
        <v>22</v>
      </c>
      <c r="M255" s="8"/>
      <c r="N255" s="10">
        <v>0.55833333333333335</v>
      </c>
      <c r="O255" s="10">
        <v>0.60972222222222228</v>
      </c>
      <c r="P255" s="7">
        <f>IF(MUESTREO_LABORAL_A2[[#This Row],[TIEMPO INICIO]]="","",(MUESTREO_LABORAL_A2[[#This Row],[TIEMPO FIN]]-MUESTREO_LABORAL_A2[[#This Row],[TIEMPO INICIO]])*24)</f>
        <v>1.2333333333333343</v>
      </c>
      <c r="Q255" s="12"/>
      <c r="R255" s="12"/>
    </row>
    <row r="256" spans="2:18" ht="28.95" customHeight="1" x14ac:dyDescent="0.3">
      <c r="B256" s="2" t="s">
        <v>17</v>
      </c>
      <c r="C256" s="2" t="s">
        <v>168</v>
      </c>
      <c r="D256" s="8" t="s">
        <v>169</v>
      </c>
      <c r="E256" s="8" t="s">
        <v>170</v>
      </c>
      <c r="F256" s="9">
        <v>46003</v>
      </c>
      <c r="G256" s="9"/>
      <c r="H256" s="8"/>
      <c r="I256" s="8" t="s">
        <v>191</v>
      </c>
      <c r="J256" s="31" t="str">
        <f>IFERROR(VLOOKUP(MUESTREO_LABORAL_A2[[#This Row],[ACTIVIDAD]],'Lista Maestra'!$D$6:$F$190,3,0),"")</f>
        <v>GESTIÓN DOCUMENTAL</v>
      </c>
      <c r="K256" s="31" t="str">
        <f>IFERROR(VLOOKUP(MUESTREO_LABORAL_A2[[#This Row],[ACTIVIDAD]],'Lista Maestra'!$D$6:$F$190,2,0),"")</f>
        <v xml:space="preserve">Tomamos la informacion de los pedidos semanales y confirmamos con la programacion la cantidad de contendores que vamos a exportar esa semana para asi poder generar las DAES </v>
      </c>
      <c r="L256" s="8" t="s">
        <v>22</v>
      </c>
      <c r="M256" s="8"/>
      <c r="N256" s="10">
        <v>0.60972222222222228</v>
      </c>
      <c r="O256" s="10">
        <v>0.64583333333333337</v>
      </c>
      <c r="P256" s="7">
        <f>IF(MUESTREO_LABORAL_A2[[#This Row],[TIEMPO INICIO]]="","",(MUESTREO_LABORAL_A2[[#This Row],[TIEMPO FIN]]-MUESTREO_LABORAL_A2[[#This Row],[TIEMPO INICIO]])*24)</f>
        <v>0.86666666666666625</v>
      </c>
      <c r="Q256" s="12"/>
      <c r="R256" s="12"/>
    </row>
    <row r="257" spans="2:18" ht="28.95" customHeight="1" x14ac:dyDescent="0.3">
      <c r="B257" s="2" t="s">
        <v>17</v>
      </c>
      <c r="C257" s="2" t="s">
        <v>168</v>
      </c>
      <c r="D257" s="8" t="s">
        <v>169</v>
      </c>
      <c r="E257" s="8" t="s">
        <v>170</v>
      </c>
      <c r="F257" s="9">
        <v>46003</v>
      </c>
      <c r="G257" s="9"/>
      <c r="H257" s="8"/>
      <c r="I257" s="8" t="s">
        <v>175</v>
      </c>
      <c r="J257" s="31" t="str">
        <f>IFERROR(VLOOKUP(MUESTREO_LABORAL_A2[[#This Row],[ACTIVIDAD]],'Lista Maestra'!$D$6:$F$190,3,0),"")</f>
        <v>DIGITALIZACIONES</v>
      </c>
      <c r="K257" s="31" t="str">
        <f>IFERROR(VLOOKUP(MUESTREO_LABORAL_A2[[#This Row],[ACTIVIDAD]],'Lista Maestra'!$D$6:$F$190,2,0),"")</f>
        <v>Una vez regularizada las DAES de las navieras asignadas se recopila la siguentes informacion: DAE regularizada, factura, BLS , capture del estado regularizada en el ECUAPASS , se realiza  1 PDF con esos 4 documentos y se los coloca en la red.</v>
      </c>
      <c r="L257" s="8" t="s">
        <v>22</v>
      </c>
      <c r="M257" s="8"/>
      <c r="N257" s="10">
        <v>0.64583333333333337</v>
      </c>
      <c r="O257" s="10">
        <v>0.65833333333333333</v>
      </c>
      <c r="P257" s="7">
        <f>IF(MUESTREO_LABORAL_A2[[#This Row],[TIEMPO INICIO]]="","",(MUESTREO_LABORAL_A2[[#This Row],[TIEMPO FIN]]-MUESTREO_LABORAL_A2[[#This Row],[TIEMPO INICIO]])*24)</f>
        <v>0.29999999999999893</v>
      </c>
      <c r="Q257" s="12" t="s">
        <v>196</v>
      </c>
      <c r="R257" s="12"/>
    </row>
    <row r="258" spans="2:18" ht="28.95" customHeight="1" x14ac:dyDescent="0.3">
      <c r="B258" s="2" t="s">
        <v>17</v>
      </c>
      <c r="C258" s="2" t="s">
        <v>168</v>
      </c>
      <c r="D258" s="8" t="s">
        <v>169</v>
      </c>
      <c r="E258" s="8" t="s">
        <v>170</v>
      </c>
      <c r="F258" s="9">
        <v>46003</v>
      </c>
      <c r="G258" s="9"/>
      <c r="H258" s="8"/>
      <c r="I258" s="8" t="s">
        <v>175</v>
      </c>
      <c r="J258" s="31" t="str">
        <f>IFERROR(VLOOKUP(MUESTREO_LABORAL_A2[[#This Row],[ACTIVIDAD]],'Lista Maestra'!$D$6:$F$190,3,0),"")</f>
        <v>DIGITALIZACIONES</v>
      </c>
      <c r="K258" s="31" t="str">
        <f>IFERROR(VLOOKUP(MUESTREO_LABORAL_A2[[#This Row],[ACTIVIDAD]],'Lista Maestra'!$D$6:$F$190,2,0),"")</f>
        <v>Una vez regularizada las DAES de las navieras asignadas se recopila la siguentes informacion: DAE regularizada, factura, BLS , capture del estado regularizada en el ECUAPASS , se realiza  1 PDF con esos 4 documentos y se los coloca en la red.</v>
      </c>
      <c r="L258" s="8" t="s">
        <v>22</v>
      </c>
      <c r="M258" s="8"/>
      <c r="N258" s="10">
        <v>0.65833333333333333</v>
      </c>
      <c r="O258" s="10">
        <v>0.67847222222222225</v>
      </c>
      <c r="P258" s="7">
        <f>IF(MUESTREO_LABORAL_A2[[#This Row],[TIEMPO INICIO]]="","",(MUESTREO_LABORAL_A2[[#This Row],[TIEMPO FIN]]-MUESTREO_LABORAL_A2[[#This Row],[TIEMPO INICIO]])*24)</f>
        <v>0.48333333333333428</v>
      </c>
      <c r="Q258" s="12" t="s">
        <v>197</v>
      </c>
      <c r="R258" s="12"/>
    </row>
    <row r="259" spans="2:18" ht="28.95" customHeight="1" x14ac:dyDescent="0.3">
      <c r="B259" s="2" t="s">
        <v>17</v>
      </c>
      <c r="C259" s="2" t="s">
        <v>168</v>
      </c>
      <c r="D259" s="8" t="s">
        <v>169</v>
      </c>
      <c r="E259" s="8" t="s">
        <v>170</v>
      </c>
      <c r="F259" s="9">
        <v>46003</v>
      </c>
      <c r="G259" s="9"/>
      <c r="H259" s="8"/>
      <c r="I259" s="8" t="s">
        <v>173</v>
      </c>
      <c r="J259" s="31" t="str">
        <f>IFERROR(VLOOKUP(MUESTREO_LABORAL_A2[[#This Row],[ACTIVIDAD]],'Lista Maestra'!$D$6:$F$190,3,0),"")</f>
        <v>FACTURACIÓN</v>
      </c>
      <c r="K259" s="31" t="str">
        <f>IFERROR(VLOOKUP(MUESTREO_LABORAL_A2[[#This Row],[ACTIVIDAD]],'Lista Maestra'!$D$6:$F$190,2,0),"")</f>
        <v xml:space="preserve"> Cada inicio de semana llegan las facturas sean por Navieras - Depositos - Retiros - Inspeciones, confimamos que todas las facturas que nos lleguen esten facturadas con su razon social correcta y valores correctos. Esperamos el  detalle que envia el area de contabilidad para confirmar que todo se ingrese de manera correcta y dentro de los plazos del area financiera.</v>
      </c>
      <c r="L259" s="8" t="s">
        <v>22</v>
      </c>
      <c r="M259" s="8"/>
      <c r="N259" s="10">
        <v>0.67847222222222225</v>
      </c>
      <c r="O259" s="10">
        <v>0.69791666666666663</v>
      </c>
      <c r="P259" s="7">
        <f>IF(MUESTREO_LABORAL_A2[[#This Row],[TIEMPO INICIO]]="","",(MUESTREO_LABORAL_A2[[#This Row],[TIEMPO FIN]]-MUESTREO_LABORAL_A2[[#This Row],[TIEMPO INICIO]])*24)</f>
        <v>0.46666666666666501</v>
      </c>
      <c r="Q259" s="12"/>
      <c r="R259" s="12"/>
    </row>
    <row r="260" spans="2:18" ht="27.6" customHeight="1" x14ac:dyDescent="0.3">
      <c r="B260" s="2" t="s">
        <v>17</v>
      </c>
      <c r="C260" s="2" t="s">
        <v>198</v>
      </c>
      <c r="D260" s="8" t="s">
        <v>199</v>
      </c>
      <c r="E260" s="8" t="s">
        <v>200</v>
      </c>
      <c r="F260" s="9">
        <v>46007</v>
      </c>
      <c r="G260" s="9"/>
      <c r="H260" s="8"/>
      <c r="I260" s="8" t="s">
        <v>201</v>
      </c>
      <c r="J260" s="31" t="str">
        <f>IFERROR(VLOOKUP(MUESTREO_LABORAL_A2[[#This Row],[ACTIVIDAD]],'Lista Maestra'!$D$6:$F$190,3,0),"")</f>
        <v>PAGOS</v>
      </c>
      <c r="K260" s="31" t="str">
        <f>IFERROR(VLOOKUP(MUESTREO_LABORAL_A2[[#This Row],[ACTIVIDAD]],'Lista Maestra'!$D$6:$F$190,2,0),"")</f>
        <v>Seleccionar en SAP las facturas que serán pagadas acorde lo planificado en el fondeo semanal</v>
      </c>
      <c r="L260" s="8" t="s">
        <v>22</v>
      </c>
      <c r="M260" s="8"/>
      <c r="N260" s="10">
        <v>0.35625000000000001</v>
      </c>
      <c r="O260" s="10">
        <v>0.44791666666666669</v>
      </c>
      <c r="P260" s="7">
        <f>IF(MUESTREO_LABORAL_A2[[#This Row],[TIEMPO INICIO]]="","",(MUESTREO_LABORAL_A2[[#This Row],[TIEMPO FIN]]-MUESTREO_LABORAL_A2[[#This Row],[TIEMPO INICIO]])*24)</f>
        <v>2.2000000000000002</v>
      </c>
      <c r="Q260" s="12"/>
      <c r="R260" s="12"/>
    </row>
    <row r="261" spans="2:18" ht="28.95" customHeight="1" x14ac:dyDescent="0.3">
      <c r="B261" s="2" t="s">
        <v>17</v>
      </c>
      <c r="C261" s="2" t="s">
        <v>198</v>
      </c>
      <c r="D261" s="8" t="s">
        <v>199</v>
      </c>
      <c r="E261" s="8" t="s">
        <v>200</v>
      </c>
      <c r="F261" s="9">
        <v>46007</v>
      </c>
      <c r="G261" s="9"/>
      <c r="H261" s="8"/>
      <c r="I261" s="8" t="s">
        <v>202</v>
      </c>
      <c r="J261" s="31" t="str">
        <f>IFERROR(VLOOKUP(MUESTREO_LABORAL_A2[[#This Row],[ACTIVIDAD]],'Lista Maestra'!$D$6:$F$190,3,0),"")</f>
        <v>PAGOS</v>
      </c>
      <c r="K261" s="31" t="str">
        <f>IFERROR(VLOOKUP(MUESTREO_LABORAL_A2[[#This Row],[ACTIVIDAD]],'Lista Maestra'!$D$6:$F$190,2,0),"")</f>
        <v>Realizar pagos de EL Carmen (maquilaje-eventuales-fitosanitarios-reembolsos de combustible-caja chica)</v>
      </c>
      <c r="L261" s="8" t="s">
        <v>22</v>
      </c>
      <c r="M261" s="8"/>
      <c r="N261" s="10">
        <v>0.42499999999999999</v>
      </c>
      <c r="O261" s="10">
        <v>0.44791666666666669</v>
      </c>
      <c r="P261" s="7">
        <f>IF(MUESTREO_LABORAL_A2[[#This Row],[TIEMPO INICIO]]="","",(MUESTREO_LABORAL_A2[[#This Row],[TIEMPO FIN]]-MUESTREO_LABORAL_A2[[#This Row],[TIEMPO INICIO]])*24)</f>
        <v>0.55000000000000071</v>
      </c>
      <c r="Q261" s="12" t="s">
        <v>203</v>
      </c>
      <c r="R261" s="12"/>
    </row>
    <row r="262" spans="2:18" ht="27.6" customHeight="1" x14ac:dyDescent="0.3">
      <c r="B262" s="2" t="s">
        <v>17</v>
      </c>
      <c r="C262" s="2" t="s">
        <v>198</v>
      </c>
      <c r="D262" s="8" t="s">
        <v>199</v>
      </c>
      <c r="E262" s="8" t="s">
        <v>200</v>
      </c>
      <c r="F262" s="9">
        <v>46007</v>
      </c>
      <c r="G262" s="9"/>
      <c r="H262" s="8"/>
      <c r="I262" s="8" t="s">
        <v>204</v>
      </c>
      <c r="J262" s="31" t="str">
        <f>IFERROR(VLOOKUP(MUESTREO_LABORAL_A2[[#This Row],[ACTIVIDAD]],'Lista Maestra'!$D$6:$F$190,3,0),"")</f>
        <v>REPORTERIA</v>
      </c>
      <c r="K262" s="31" t="str">
        <f>IFERROR(VLOOKUP(MUESTREO_LABORAL_A2[[#This Row],[ACTIVIDAD]],'Lista Maestra'!$D$6:$F$190,2,0),"")</f>
        <v>Registrar en SAP los pagos recibidos por indemnizaciones de los casos reportados</v>
      </c>
      <c r="L262" s="8" t="s">
        <v>22</v>
      </c>
      <c r="M262" s="8"/>
      <c r="N262" s="10">
        <v>0.44791666666666669</v>
      </c>
      <c r="O262" s="10">
        <v>0.47569444444444442</v>
      </c>
      <c r="P262" s="7">
        <f>IF(MUESTREO_LABORAL_A2[[#This Row],[TIEMPO INICIO]]="","",(MUESTREO_LABORAL_A2[[#This Row],[TIEMPO FIN]]-MUESTREO_LABORAL_A2[[#This Row],[TIEMPO INICIO]])*24)</f>
        <v>0.66666666666666563</v>
      </c>
      <c r="Q262" s="12"/>
      <c r="R262" s="12"/>
    </row>
    <row r="263" spans="2:18" ht="27.6" customHeight="1" x14ac:dyDescent="0.3">
      <c r="B263" s="2" t="s">
        <v>17</v>
      </c>
      <c r="C263" s="2" t="s">
        <v>198</v>
      </c>
      <c r="D263" s="8" t="s">
        <v>199</v>
      </c>
      <c r="E263" s="8" t="s">
        <v>200</v>
      </c>
      <c r="F263" s="9">
        <v>46007</v>
      </c>
      <c r="G263" s="9"/>
      <c r="H263" s="8"/>
      <c r="I263" s="8" t="s">
        <v>205</v>
      </c>
      <c r="J263" s="31" t="str">
        <f>IFERROR(VLOOKUP(MUESTREO_LABORAL_A2[[#This Row],[ACTIVIDAD]],'Lista Maestra'!$D$6:$F$190,3,0),"")</f>
        <v>PAGOS</v>
      </c>
      <c r="K263" s="31" t="str">
        <f>IFERROR(VLOOKUP(MUESTREO_LABORAL_A2[[#This Row],[ACTIVIDAD]],'Lista Maestra'!$D$6:$F$190,2,0),"")</f>
        <v>Seleccionar en SAP las facturas que serán pagadas acorde lo planificado en el fondeo semanal</v>
      </c>
      <c r="L263" s="8" t="s">
        <v>22</v>
      </c>
      <c r="M263" s="8"/>
      <c r="N263" s="10">
        <v>0.47569444444444442</v>
      </c>
      <c r="O263" s="10">
        <v>0.49652777777777779</v>
      </c>
      <c r="P263" s="7">
        <f>IF(MUESTREO_LABORAL_A2[[#This Row],[TIEMPO INICIO]]="","",(MUESTREO_LABORAL_A2[[#This Row],[TIEMPO FIN]]-MUESTREO_LABORAL_A2[[#This Row],[TIEMPO INICIO]])*24)</f>
        <v>0.50000000000000089</v>
      </c>
      <c r="Q263" s="12"/>
      <c r="R263" s="12"/>
    </row>
    <row r="264" spans="2:18" ht="27.6" customHeight="1" x14ac:dyDescent="0.3">
      <c r="B264" s="2" t="s">
        <v>17</v>
      </c>
      <c r="C264" s="2" t="s">
        <v>198</v>
      </c>
      <c r="D264" s="8" t="s">
        <v>199</v>
      </c>
      <c r="E264" s="8" t="s">
        <v>200</v>
      </c>
      <c r="F264" s="9">
        <v>46007</v>
      </c>
      <c r="G264" s="9"/>
      <c r="H264" s="8"/>
      <c r="I264" s="8" t="s">
        <v>206</v>
      </c>
      <c r="J264" s="31" t="str">
        <f>IFERROR(VLOOKUP(MUESTREO_LABORAL_A2[[#This Row],[ACTIVIDAD]],'Lista Maestra'!$D$6:$F$190,3,0),"")</f>
        <v>REPORTERIA</v>
      </c>
      <c r="K264" s="31" t="str">
        <f>IFERROR(VLOOKUP(MUESTREO_LABORAL_A2[[#This Row],[ACTIVIDAD]],'Lista Maestra'!$D$6:$F$190,2,0),"")</f>
        <v>Acorde los pagos realizados, enviar comprobantes de pagos a los distintos proveedores</v>
      </c>
      <c r="L264" s="8" t="s">
        <v>22</v>
      </c>
      <c r="M264" s="8"/>
      <c r="N264" s="10">
        <v>0.49652777777777779</v>
      </c>
      <c r="O264" s="10">
        <v>0.52013888888888893</v>
      </c>
      <c r="P264" s="7">
        <f>IF(MUESTREO_LABORAL_A2[[#This Row],[TIEMPO INICIO]]="","",(MUESTREO_LABORAL_A2[[#This Row],[TIEMPO FIN]]-MUESTREO_LABORAL_A2[[#This Row],[TIEMPO INICIO]])*24)</f>
        <v>0.56666666666666732</v>
      </c>
      <c r="Q264" s="12"/>
      <c r="R264" s="12"/>
    </row>
    <row r="265" spans="2:18" x14ac:dyDescent="0.3">
      <c r="B265" s="2" t="s">
        <v>17</v>
      </c>
      <c r="C265" s="2" t="s">
        <v>198</v>
      </c>
      <c r="D265" s="8" t="s">
        <v>199</v>
      </c>
      <c r="E265" s="8" t="s">
        <v>200</v>
      </c>
      <c r="F265" s="9">
        <v>46007</v>
      </c>
      <c r="G265" s="9"/>
      <c r="H265" s="8"/>
      <c r="I265" s="8" t="s">
        <v>207</v>
      </c>
      <c r="J265" s="31" t="str">
        <f>IFERROR(VLOOKUP(MUESTREO_LABORAL_A2[[#This Row],[ACTIVIDAD]],'Lista Maestra'!$D$6:$F$190,3,0),"")</f>
        <v>PAGOS</v>
      </c>
      <c r="K265" s="31" t="str">
        <f>IFERROR(VLOOKUP(MUESTREO_LABORAL_A2[[#This Row],[ACTIVIDAD]],'Lista Maestra'!$D$6:$F$190,2,0),"")</f>
        <v>Registrar los pagos realizados durante la semana</v>
      </c>
      <c r="L265" s="8" t="s">
        <v>22</v>
      </c>
      <c r="M265" s="8"/>
      <c r="N265" s="10">
        <v>0.52013888888888893</v>
      </c>
      <c r="O265" s="10">
        <v>0.52430555555555558</v>
      </c>
      <c r="P265" s="7">
        <f>IF(MUESTREO_LABORAL_A2[[#This Row],[TIEMPO INICIO]]="","",(MUESTREO_LABORAL_A2[[#This Row],[TIEMPO FIN]]-MUESTREO_LABORAL_A2[[#This Row],[TIEMPO INICIO]])*24)</f>
        <v>9.9999999999999645E-2</v>
      </c>
      <c r="Q265" s="12"/>
      <c r="R265" s="12"/>
    </row>
    <row r="266" spans="2:18" x14ac:dyDescent="0.3">
      <c r="B266" s="2" t="s">
        <v>17</v>
      </c>
      <c r="C266" s="2" t="s">
        <v>198</v>
      </c>
      <c r="D266" s="8" t="s">
        <v>199</v>
      </c>
      <c r="E266" s="8" t="s">
        <v>200</v>
      </c>
      <c r="F266" s="9">
        <v>46007</v>
      </c>
      <c r="G266" s="9"/>
      <c r="H266" s="8"/>
      <c r="I266" s="8" t="s">
        <v>33</v>
      </c>
      <c r="J266" s="31" t="str">
        <f>IFERROR(VLOOKUP(MUESTREO_LABORAL_A2[[#This Row],[ACTIVIDAD]],'Lista Maestra'!$D$6:$F$190,3,0),"")</f>
        <v>ALIMENTACIÓN</v>
      </c>
      <c r="K266" s="31" t="str">
        <f>IFERROR(VLOOKUP(MUESTREO_LABORAL_A2[[#This Row],[ACTIVIDAD]],'Lista Maestra'!$D$6:$F$190,2,0),"")</f>
        <v>ALIMENTARSE</v>
      </c>
      <c r="L266" s="8" t="s">
        <v>22</v>
      </c>
      <c r="M266" s="8"/>
      <c r="N266" s="10">
        <v>0.52430555555555558</v>
      </c>
      <c r="O266" s="10">
        <v>0.5708333333333333</v>
      </c>
      <c r="P266" s="7">
        <f>IF(MUESTREO_LABORAL_A2[[#This Row],[TIEMPO INICIO]]="","",(MUESTREO_LABORAL_A2[[#This Row],[TIEMPO FIN]]-MUESTREO_LABORAL_A2[[#This Row],[TIEMPO INICIO]])*24)</f>
        <v>1.1166666666666654</v>
      </c>
      <c r="Q266" s="12"/>
      <c r="R266" s="12"/>
    </row>
    <row r="267" spans="2:18" x14ac:dyDescent="0.3">
      <c r="B267" s="2" t="s">
        <v>17</v>
      </c>
      <c r="C267" s="2" t="s">
        <v>198</v>
      </c>
      <c r="D267" s="8" t="s">
        <v>199</v>
      </c>
      <c r="E267" s="8" t="s">
        <v>200</v>
      </c>
      <c r="F267" s="9">
        <v>46007</v>
      </c>
      <c r="G267" s="9"/>
      <c r="H267" s="8"/>
      <c r="I267" s="8" t="s">
        <v>207</v>
      </c>
      <c r="J267" s="31" t="str">
        <f>IFERROR(VLOOKUP(MUESTREO_LABORAL_A2[[#This Row],[ACTIVIDAD]],'Lista Maestra'!$D$6:$F$190,3,0),"")</f>
        <v>PAGOS</v>
      </c>
      <c r="K267" s="31" t="str">
        <f>IFERROR(VLOOKUP(MUESTREO_LABORAL_A2[[#This Row],[ACTIVIDAD]],'Lista Maestra'!$D$6:$F$190,2,0),"")</f>
        <v>Registrar los pagos realizados durante la semana</v>
      </c>
      <c r="L267" s="8" t="s">
        <v>22</v>
      </c>
      <c r="M267" s="8"/>
      <c r="N267" s="10">
        <v>0.5708333333333333</v>
      </c>
      <c r="O267" s="10">
        <v>0.67361111111111116</v>
      </c>
      <c r="P267" s="7">
        <f>IF(MUESTREO_LABORAL_A2[[#This Row],[TIEMPO INICIO]]="","",(MUESTREO_LABORAL_A2[[#This Row],[TIEMPO FIN]]-MUESTREO_LABORAL_A2[[#This Row],[TIEMPO INICIO]])*24)</f>
        <v>2.4666666666666686</v>
      </c>
      <c r="Q267" s="12"/>
      <c r="R267" s="12"/>
    </row>
    <row r="268" spans="2:18" x14ac:dyDescent="0.3">
      <c r="B268" s="2" t="s">
        <v>17</v>
      </c>
      <c r="C268" s="2" t="s">
        <v>198</v>
      </c>
      <c r="D268" s="8" t="s">
        <v>199</v>
      </c>
      <c r="E268" s="8" t="s">
        <v>200</v>
      </c>
      <c r="F268" s="9">
        <v>46008</v>
      </c>
      <c r="G268" s="9"/>
      <c r="H268" s="8"/>
      <c r="I268" s="8" t="s">
        <v>207</v>
      </c>
      <c r="J268" s="31" t="str">
        <f>IFERROR(VLOOKUP(MUESTREO_LABORAL_A2[[#This Row],[ACTIVIDAD]],'Lista Maestra'!$D$6:$F$190,3,0),"")</f>
        <v>PAGOS</v>
      </c>
      <c r="K268" s="31" t="str">
        <f>IFERROR(VLOOKUP(MUESTREO_LABORAL_A2[[#This Row],[ACTIVIDAD]],'Lista Maestra'!$D$6:$F$190,2,0),"")</f>
        <v>Registrar los pagos realizados durante la semana</v>
      </c>
      <c r="L268" s="8" t="s">
        <v>22</v>
      </c>
      <c r="M268" s="8"/>
      <c r="N268" s="10">
        <v>0.35416666666666669</v>
      </c>
      <c r="O268" s="10">
        <v>0.37430555555555561</v>
      </c>
      <c r="P268" s="7">
        <f>IF(MUESTREO_LABORAL_A2[[#This Row],[TIEMPO INICIO]]="","",(MUESTREO_LABORAL_A2[[#This Row],[TIEMPO FIN]]-MUESTREO_LABORAL_A2[[#This Row],[TIEMPO INICIO]])*24)</f>
        <v>0.48333333333333428</v>
      </c>
      <c r="Q268" s="12"/>
      <c r="R268" s="12"/>
    </row>
    <row r="269" spans="2:18" x14ac:dyDescent="0.3">
      <c r="B269" s="2" t="s">
        <v>17</v>
      </c>
      <c r="C269" s="2" t="s">
        <v>198</v>
      </c>
      <c r="D269" s="8" t="s">
        <v>199</v>
      </c>
      <c r="E269" s="8" t="s">
        <v>200</v>
      </c>
      <c r="F269" s="9">
        <v>46008</v>
      </c>
      <c r="G269" s="9"/>
      <c r="H269" s="8"/>
      <c r="I269" s="8" t="s">
        <v>208</v>
      </c>
      <c r="J269" s="31" t="str">
        <f>IFERROR(VLOOKUP(MUESTREO_LABORAL_A2[[#This Row],[ACTIVIDAD]],'Lista Maestra'!$D$6:$F$190,3,0),"")</f>
        <v>PAGOS</v>
      </c>
      <c r="K269" s="31" t="str">
        <f>IFERROR(VLOOKUP(MUESTREO_LABORAL_A2[[#This Row],[ACTIVIDAD]],'Lista Maestra'!$D$6:$F$190,2,0),"")</f>
        <v>Registrar los pagos realizados durante la semana</v>
      </c>
      <c r="L269" s="8" t="s">
        <v>22</v>
      </c>
      <c r="M269" s="8"/>
      <c r="N269" s="10">
        <v>0.37430555555555561</v>
      </c>
      <c r="O269" s="10">
        <v>0.37986111111111109</v>
      </c>
      <c r="P269" s="7">
        <f>IF(MUESTREO_LABORAL_A2[[#This Row],[TIEMPO INICIO]]="","",(MUESTREO_LABORAL_A2[[#This Row],[TIEMPO FIN]]-MUESTREO_LABORAL_A2[[#This Row],[TIEMPO INICIO]])*24)</f>
        <v>0.13333333333333153</v>
      </c>
      <c r="Q269" s="12"/>
      <c r="R269" s="12"/>
    </row>
    <row r="270" spans="2:18" x14ac:dyDescent="0.3">
      <c r="B270" s="2" t="s">
        <v>17</v>
      </c>
      <c r="C270" s="2" t="s">
        <v>198</v>
      </c>
      <c r="D270" s="8" t="s">
        <v>199</v>
      </c>
      <c r="E270" s="8" t="s">
        <v>200</v>
      </c>
      <c r="F270" s="9">
        <v>46008</v>
      </c>
      <c r="G270" s="9"/>
      <c r="H270" s="8"/>
      <c r="I270" s="8" t="s">
        <v>207</v>
      </c>
      <c r="J270" s="31" t="str">
        <f>IFERROR(VLOOKUP(MUESTREO_LABORAL_A2[[#This Row],[ACTIVIDAD]],'Lista Maestra'!$D$6:$F$190,3,0),"")</f>
        <v>PAGOS</v>
      </c>
      <c r="K270" s="31" t="str">
        <f>IFERROR(VLOOKUP(MUESTREO_LABORAL_A2[[#This Row],[ACTIVIDAD]],'Lista Maestra'!$D$6:$F$190,2,0),"")</f>
        <v>Registrar los pagos realizados durante la semana</v>
      </c>
      <c r="L270" s="8" t="s">
        <v>22</v>
      </c>
      <c r="M270" s="8"/>
      <c r="N270" s="10">
        <v>0.37986111111111109</v>
      </c>
      <c r="O270" s="10">
        <v>0.47083333333333333</v>
      </c>
      <c r="P270" s="7">
        <f>IF(MUESTREO_LABORAL_A2[[#This Row],[TIEMPO INICIO]]="","",(MUESTREO_LABORAL_A2[[#This Row],[TIEMPO FIN]]-MUESTREO_LABORAL_A2[[#This Row],[TIEMPO INICIO]])*24)</f>
        <v>2.1833333333333336</v>
      </c>
      <c r="Q270" s="12" t="s">
        <v>209</v>
      </c>
      <c r="R270" s="12"/>
    </row>
    <row r="271" spans="2:18" x14ac:dyDescent="0.3">
      <c r="B271" s="2" t="s">
        <v>17</v>
      </c>
      <c r="C271" s="2" t="s">
        <v>198</v>
      </c>
      <c r="D271" s="8" t="s">
        <v>199</v>
      </c>
      <c r="E271" s="8" t="s">
        <v>200</v>
      </c>
      <c r="F271" s="9">
        <v>46008</v>
      </c>
      <c r="G271" s="9"/>
      <c r="H271" s="8"/>
      <c r="I271" s="8" t="s">
        <v>210</v>
      </c>
      <c r="J271" s="31" t="str">
        <f>IFERROR(VLOOKUP(MUESTREO_LABORAL_A2[[#This Row],[ACTIVIDAD]],'Lista Maestra'!$D$6:$F$190,3,0),"")</f>
        <v>ANÁLISIS Y CRITERIO INGENIERIL</v>
      </c>
      <c r="K271" s="31" t="str">
        <f>IFERROR(VLOOKUP(MUESTREO_LABORAL_A2[[#This Row],[ACTIVIDAD]],'Lista Maestra'!$D$6:$F$190,2,0),"")</f>
        <v>Reunión con Dirección, Subgerencia Financiera y agregados</v>
      </c>
      <c r="L271" s="8" t="s">
        <v>22</v>
      </c>
      <c r="M271" s="8"/>
      <c r="N271" s="10">
        <v>0.47083333333333333</v>
      </c>
      <c r="O271" s="10">
        <v>0.48402777777777778</v>
      </c>
      <c r="P271" s="7">
        <f>IF(MUESTREO_LABORAL_A2[[#This Row],[TIEMPO INICIO]]="","",(MUESTREO_LABORAL_A2[[#This Row],[TIEMPO FIN]]-MUESTREO_LABORAL_A2[[#This Row],[TIEMPO INICIO]])*24)</f>
        <v>0.31666666666666687</v>
      </c>
      <c r="Q271" s="12" t="s">
        <v>211</v>
      </c>
      <c r="R271" s="12"/>
    </row>
    <row r="272" spans="2:18" x14ac:dyDescent="0.3">
      <c r="B272" s="2" t="s">
        <v>17</v>
      </c>
      <c r="C272" s="2" t="s">
        <v>198</v>
      </c>
      <c r="D272" s="8" t="s">
        <v>199</v>
      </c>
      <c r="E272" s="8" t="s">
        <v>200</v>
      </c>
      <c r="F272" s="9">
        <v>46008</v>
      </c>
      <c r="G272" s="9"/>
      <c r="H272" s="8"/>
      <c r="I272" s="8" t="s">
        <v>207</v>
      </c>
      <c r="J272" s="31" t="str">
        <f>IFERROR(VLOOKUP(MUESTREO_LABORAL_A2[[#This Row],[ACTIVIDAD]],'Lista Maestra'!$D$6:$F$190,3,0),"")</f>
        <v>PAGOS</v>
      </c>
      <c r="K272" s="31" t="str">
        <f>IFERROR(VLOOKUP(MUESTREO_LABORAL_A2[[#This Row],[ACTIVIDAD]],'Lista Maestra'!$D$6:$F$190,2,0),"")</f>
        <v>Registrar los pagos realizados durante la semana</v>
      </c>
      <c r="L272" s="8" t="s">
        <v>22</v>
      </c>
      <c r="M272" s="8"/>
      <c r="N272" s="10">
        <v>0.48402777777777778</v>
      </c>
      <c r="O272" s="10">
        <v>0.52083333333333337</v>
      </c>
      <c r="P272" s="7">
        <f>IF(MUESTREO_LABORAL_A2[[#This Row],[TIEMPO INICIO]]="","",(MUESTREO_LABORAL_A2[[#This Row],[TIEMPO FIN]]-MUESTREO_LABORAL_A2[[#This Row],[TIEMPO INICIO]])*24)</f>
        <v>0.88333333333333419</v>
      </c>
      <c r="Q272" s="12"/>
      <c r="R272" s="12"/>
    </row>
    <row r="273" spans="2:18" x14ac:dyDescent="0.3">
      <c r="B273" s="2" t="s">
        <v>17</v>
      </c>
      <c r="C273" s="2" t="s">
        <v>198</v>
      </c>
      <c r="D273" s="8" t="s">
        <v>199</v>
      </c>
      <c r="E273" s="8" t="s">
        <v>200</v>
      </c>
      <c r="F273" s="9">
        <v>46008</v>
      </c>
      <c r="G273" s="9"/>
      <c r="H273" s="8"/>
      <c r="I273" s="8" t="s">
        <v>33</v>
      </c>
      <c r="J273" s="31" t="str">
        <f>IFERROR(VLOOKUP(MUESTREO_LABORAL_A2[[#This Row],[ACTIVIDAD]],'Lista Maestra'!$D$6:$F$190,3,0),"")</f>
        <v>ALIMENTACIÓN</v>
      </c>
      <c r="K273" s="31" t="str">
        <f>IFERROR(VLOOKUP(MUESTREO_LABORAL_A2[[#This Row],[ACTIVIDAD]],'Lista Maestra'!$D$6:$F$190,2,0),"")</f>
        <v>ALIMENTARSE</v>
      </c>
      <c r="L273" s="8" t="s">
        <v>33</v>
      </c>
      <c r="M273" s="8"/>
      <c r="N273" s="10">
        <v>0.52083333333333337</v>
      </c>
      <c r="O273" s="10">
        <v>0.5625</v>
      </c>
      <c r="P273" s="7">
        <f>IF(MUESTREO_LABORAL_A2[[#This Row],[TIEMPO INICIO]]="","",(MUESTREO_LABORAL_A2[[#This Row],[TIEMPO FIN]]-MUESTREO_LABORAL_A2[[#This Row],[TIEMPO INICIO]])*24)</f>
        <v>0.99999999999999911</v>
      </c>
      <c r="Q273" s="12"/>
      <c r="R273" s="12"/>
    </row>
    <row r="274" spans="2:18" x14ac:dyDescent="0.3">
      <c r="B274" s="2" t="s">
        <v>17</v>
      </c>
      <c r="C274" s="2" t="s">
        <v>198</v>
      </c>
      <c r="D274" s="8" t="s">
        <v>199</v>
      </c>
      <c r="E274" s="8" t="s">
        <v>200</v>
      </c>
      <c r="F274" s="9">
        <v>46008</v>
      </c>
      <c r="G274" s="9"/>
      <c r="H274" s="8"/>
      <c r="I274" s="8" t="s">
        <v>207</v>
      </c>
      <c r="J274" s="31" t="str">
        <f>IFERROR(VLOOKUP(MUESTREO_LABORAL_A2[[#This Row],[ACTIVIDAD]],'Lista Maestra'!$D$6:$F$190,3,0),"")</f>
        <v>PAGOS</v>
      </c>
      <c r="K274" s="31" t="str">
        <f>IFERROR(VLOOKUP(MUESTREO_LABORAL_A2[[#This Row],[ACTIVIDAD]],'Lista Maestra'!$D$6:$F$190,2,0),"")</f>
        <v>Registrar los pagos realizados durante la semana</v>
      </c>
      <c r="L274" s="8" t="s">
        <v>22</v>
      </c>
      <c r="M274" s="8"/>
      <c r="N274" s="10">
        <v>0.5625</v>
      </c>
      <c r="O274" s="10">
        <v>0.64652777777777781</v>
      </c>
      <c r="P274" s="7">
        <f>IF(MUESTREO_LABORAL_A2[[#This Row],[TIEMPO INICIO]]="","",(MUESTREO_LABORAL_A2[[#This Row],[TIEMPO FIN]]-MUESTREO_LABORAL_A2[[#This Row],[TIEMPO INICIO]])*24)</f>
        <v>2.0166666666666675</v>
      </c>
      <c r="Q274" s="12"/>
      <c r="R274" s="12"/>
    </row>
    <row r="275" spans="2:18" x14ac:dyDescent="0.3">
      <c r="B275" s="2" t="s">
        <v>17</v>
      </c>
      <c r="C275" s="2" t="s">
        <v>198</v>
      </c>
      <c r="D275" s="8" t="s">
        <v>199</v>
      </c>
      <c r="E275" s="8" t="s">
        <v>200</v>
      </c>
      <c r="F275" s="9">
        <v>46009</v>
      </c>
      <c r="G275" s="9"/>
      <c r="H275" s="8"/>
      <c r="I275" s="8" t="s">
        <v>207</v>
      </c>
      <c r="J275" s="31" t="str">
        <f>IFERROR(VLOOKUP(MUESTREO_LABORAL_A2[[#This Row],[ACTIVIDAD]],'Lista Maestra'!$D$6:$F$190,3,0),"")</f>
        <v>PAGOS</v>
      </c>
      <c r="K275" s="31" t="str">
        <f>IFERROR(VLOOKUP(MUESTREO_LABORAL_A2[[#This Row],[ACTIVIDAD]],'Lista Maestra'!$D$6:$F$190,2,0),"")</f>
        <v>Registrar los pagos realizados durante la semana</v>
      </c>
      <c r="L275" s="8" t="s">
        <v>22</v>
      </c>
      <c r="M275" s="8"/>
      <c r="N275" s="10">
        <v>0.35416666666666669</v>
      </c>
      <c r="O275" s="10">
        <v>0.41805555555555562</v>
      </c>
      <c r="P275" s="7">
        <f>IF(MUESTREO_LABORAL_A2[[#This Row],[TIEMPO INICIO]]="","",(MUESTREO_LABORAL_A2[[#This Row],[TIEMPO FIN]]-MUESTREO_LABORAL_A2[[#This Row],[TIEMPO INICIO]])*24)</f>
        <v>1.5333333333333345</v>
      </c>
      <c r="Q275" s="12"/>
      <c r="R275" s="12"/>
    </row>
    <row r="276" spans="2:18" ht="27.6" customHeight="1" x14ac:dyDescent="0.3">
      <c r="B276" s="2" t="s">
        <v>17</v>
      </c>
      <c r="C276" s="2" t="s">
        <v>198</v>
      </c>
      <c r="D276" s="8" t="s">
        <v>199</v>
      </c>
      <c r="E276" s="8" t="s">
        <v>200</v>
      </c>
      <c r="F276" s="9">
        <v>46009</v>
      </c>
      <c r="G276" s="9"/>
      <c r="H276" s="8"/>
      <c r="I276" s="8" t="s">
        <v>212</v>
      </c>
      <c r="J276" s="31" t="str">
        <f>IFERROR(VLOOKUP(MUESTREO_LABORAL_A2[[#This Row],[ACTIVIDAD]],'Lista Maestra'!$D$6:$F$190,3,0),"")</f>
        <v>REPORTERIA</v>
      </c>
      <c r="K276" s="31" t="str">
        <f>IFERROR(VLOOKUP(MUESTREO_LABORAL_A2[[#This Row],[ACTIVIDAD]],'Lista Maestra'!$D$6:$F$190,2,0),"")</f>
        <v>Revisar estados de cuentas enviados por las navieras y reportar diferencias al área de Comex</v>
      </c>
      <c r="L276" s="8" t="s">
        <v>22</v>
      </c>
      <c r="M276" s="8"/>
      <c r="N276" s="10">
        <v>0.41875000000000001</v>
      </c>
      <c r="O276" s="10">
        <v>0.45277777777777778</v>
      </c>
      <c r="P276" s="7">
        <f>IF(MUESTREO_LABORAL_A2[[#This Row],[TIEMPO INICIO]]="","",(MUESTREO_LABORAL_A2[[#This Row],[TIEMPO FIN]]-MUESTREO_LABORAL_A2[[#This Row],[TIEMPO INICIO]])*24)</f>
        <v>0.81666666666666643</v>
      </c>
      <c r="Q276" s="12"/>
      <c r="R276" s="12"/>
    </row>
    <row r="277" spans="2:18" x14ac:dyDescent="0.3">
      <c r="B277" s="2" t="s">
        <v>17</v>
      </c>
      <c r="C277" s="2" t="s">
        <v>198</v>
      </c>
      <c r="D277" s="8" t="s">
        <v>199</v>
      </c>
      <c r="E277" s="8" t="s">
        <v>200</v>
      </c>
      <c r="F277" s="9">
        <v>46009</v>
      </c>
      <c r="G277" s="9"/>
      <c r="H277" s="8"/>
      <c r="I277" s="8" t="s">
        <v>213</v>
      </c>
      <c r="J277" s="31" t="str">
        <f>IFERROR(VLOOKUP(MUESTREO_LABORAL_A2[[#This Row],[ACTIVIDAD]],'Lista Maestra'!$D$6:$F$190,3,0),"")</f>
        <v>ANÁLISIS Y CRITERIO INGENIERIL</v>
      </c>
      <c r="K277" s="31" t="str">
        <f>IFERROR(VLOOKUP(MUESTREO_LABORAL_A2[[#This Row],[ACTIVIDAD]],'Lista Maestra'!$D$6:$F$190,2,0),"")</f>
        <v>Reunión con deparamentos contiguos tales como COMEX.</v>
      </c>
      <c r="L277" s="8" t="s">
        <v>22</v>
      </c>
      <c r="M277" s="8"/>
      <c r="N277" s="10">
        <v>0.45277777777777778</v>
      </c>
      <c r="O277" s="10">
        <v>0.48402777777777778</v>
      </c>
      <c r="P277" s="7">
        <f>IF(MUESTREO_LABORAL_A2[[#This Row],[TIEMPO INICIO]]="","",(MUESTREO_LABORAL_A2[[#This Row],[TIEMPO FIN]]-MUESTREO_LABORAL_A2[[#This Row],[TIEMPO INICIO]])*24)</f>
        <v>0.75</v>
      </c>
      <c r="Q277" s="12"/>
      <c r="R277" s="12"/>
    </row>
    <row r="278" spans="2:18" ht="27.6" customHeight="1" x14ac:dyDescent="0.3">
      <c r="B278" s="2" t="s">
        <v>17</v>
      </c>
      <c r="C278" s="2" t="s">
        <v>198</v>
      </c>
      <c r="D278" s="8" t="s">
        <v>199</v>
      </c>
      <c r="E278" s="8" t="s">
        <v>200</v>
      </c>
      <c r="F278" s="9">
        <v>46009</v>
      </c>
      <c r="G278" s="9"/>
      <c r="H278" s="8"/>
      <c r="I278" s="8" t="s">
        <v>212</v>
      </c>
      <c r="J278" s="31" t="str">
        <f>IFERROR(VLOOKUP(MUESTREO_LABORAL_A2[[#This Row],[ACTIVIDAD]],'Lista Maestra'!$D$6:$F$190,3,0),"")</f>
        <v>REPORTERIA</v>
      </c>
      <c r="K278" s="31" t="str">
        <f>IFERROR(VLOOKUP(MUESTREO_LABORAL_A2[[#This Row],[ACTIVIDAD]],'Lista Maestra'!$D$6:$F$190,2,0),"")</f>
        <v>Revisar estados de cuentas enviados por las navieras y reportar diferencias al área de Comex</v>
      </c>
      <c r="L278" s="8" t="s">
        <v>22</v>
      </c>
      <c r="M278" s="8"/>
      <c r="N278" s="10">
        <v>0.48402777777777778</v>
      </c>
      <c r="O278" s="10">
        <v>0.52777777777777779</v>
      </c>
      <c r="P278" s="7">
        <f>IF(MUESTREO_LABORAL_A2[[#This Row],[TIEMPO INICIO]]="","",(MUESTREO_LABORAL_A2[[#This Row],[TIEMPO FIN]]-MUESTREO_LABORAL_A2[[#This Row],[TIEMPO INICIO]])*24)</f>
        <v>1.0500000000000003</v>
      </c>
      <c r="Q278" s="12"/>
      <c r="R278" s="12"/>
    </row>
    <row r="279" spans="2:18" x14ac:dyDescent="0.3">
      <c r="B279" s="2" t="s">
        <v>17</v>
      </c>
      <c r="C279" s="2" t="s">
        <v>198</v>
      </c>
      <c r="D279" s="8" t="s">
        <v>199</v>
      </c>
      <c r="E279" s="8" t="s">
        <v>200</v>
      </c>
      <c r="F279" s="9">
        <v>46009</v>
      </c>
      <c r="G279" s="9"/>
      <c r="H279" s="8"/>
      <c r="I279" s="8" t="s">
        <v>33</v>
      </c>
      <c r="J279" s="31" t="str">
        <f>IFERROR(VLOOKUP(MUESTREO_LABORAL_A2[[#This Row],[ACTIVIDAD]],'Lista Maestra'!$D$6:$F$190,3,0),"")</f>
        <v>ALIMENTACIÓN</v>
      </c>
      <c r="K279" s="31" t="str">
        <f>IFERROR(VLOOKUP(MUESTREO_LABORAL_A2[[#This Row],[ACTIVIDAD]],'Lista Maestra'!$D$6:$F$190,2,0),"")</f>
        <v>ALIMENTARSE</v>
      </c>
      <c r="L279" s="8" t="s">
        <v>33</v>
      </c>
      <c r="M279" s="8"/>
      <c r="N279" s="10">
        <v>0.52777777777777779</v>
      </c>
      <c r="O279" s="38">
        <v>0.56736111111111109</v>
      </c>
      <c r="P279" s="7">
        <f>IF(MUESTREO_LABORAL_A2[[#This Row],[TIEMPO INICIO]]="","",(MUESTREO_LABORAL_A2[[#This Row],[TIEMPO FIN]]-MUESTREO_LABORAL_A2[[#This Row],[TIEMPO INICIO]])*24)</f>
        <v>0.94999999999999929</v>
      </c>
      <c r="Q279" s="12"/>
      <c r="R279" s="12"/>
    </row>
    <row r="280" spans="2:18" x14ac:dyDescent="0.3">
      <c r="B280" s="2" t="s">
        <v>17</v>
      </c>
      <c r="C280" s="2" t="s">
        <v>198</v>
      </c>
      <c r="D280" s="8" t="s">
        <v>199</v>
      </c>
      <c r="E280" s="8" t="s">
        <v>200</v>
      </c>
      <c r="F280" s="9">
        <v>46009</v>
      </c>
      <c r="G280" s="9"/>
      <c r="H280" s="8"/>
      <c r="I280" s="8" t="s">
        <v>26</v>
      </c>
      <c r="J280" s="31" t="str">
        <f>IFERROR(VLOOKUP(MUESTREO_LABORAL_A2[[#This Row],[ACTIVIDAD]],'Lista Maestra'!$D$6:$F$190,3,0),"")</f>
        <v>NECESIDADES BIOLÓGICAS</v>
      </c>
      <c r="K280" s="31" t="str">
        <f>IFERROR(VLOOKUP(MUESTREO_LABORAL_A2[[#This Row],[ACTIVIDAD]],'Lista Maestra'!$D$6:$F$190,2,0),"")</f>
        <v>PROCESO DE MICCIÓN Y AGREGADOS</v>
      </c>
      <c r="L280" s="8" t="s">
        <v>26</v>
      </c>
      <c r="M280" s="8"/>
      <c r="N280" s="10">
        <v>0.56736111111111109</v>
      </c>
      <c r="O280" s="10">
        <v>0.57708333333333328</v>
      </c>
      <c r="P280" s="7">
        <f>IF(MUESTREO_LABORAL_A2[[#This Row],[TIEMPO INICIO]]="","",(MUESTREO_LABORAL_A2[[#This Row],[TIEMPO FIN]]-MUESTREO_LABORAL_A2[[#This Row],[TIEMPO INICIO]])*24)</f>
        <v>0.2333333333333325</v>
      </c>
      <c r="Q280" s="12"/>
      <c r="R280" s="12"/>
    </row>
    <row r="281" spans="2:18" ht="27.6" customHeight="1" x14ac:dyDescent="0.3">
      <c r="B281" s="2" t="s">
        <v>17</v>
      </c>
      <c r="C281" s="2" t="s">
        <v>198</v>
      </c>
      <c r="D281" s="8" t="s">
        <v>199</v>
      </c>
      <c r="E281" s="8" t="s">
        <v>200</v>
      </c>
      <c r="F281" s="9">
        <v>46009</v>
      </c>
      <c r="G281" s="9"/>
      <c r="H281" s="8"/>
      <c r="I281" s="8" t="s">
        <v>214</v>
      </c>
      <c r="J281" s="31" t="str">
        <f>IFERROR(VLOOKUP(MUESTREO_LABORAL_A2[[#This Row],[ACTIVIDAD]],'Lista Maestra'!$D$6:$F$190,3,0),"")</f>
        <v>REPORTERIA</v>
      </c>
      <c r="K281" s="31" t="str">
        <f>IFERROR(VLOOKUP(MUESTREO_LABORAL_A2[[#This Row],[ACTIVIDAD]],'Lista Maestra'!$D$6:$F$190,2,0),"")</f>
        <v>Guardar comprobantes de pagos realizados a los productores de banano</v>
      </c>
      <c r="L281" s="8" t="s">
        <v>22</v>
      </c>
      <c r="M281" s="8"/>
      <c r="N281" s="10">
        <v>0.57708333333333328</v>
      </c>
      <c r="O281" s="10">
        <v>0.70833333333333337</v>
      </c>
      <c r="P281" s="7">
        <f>IF(MUESTREO_LABORAL_A2[[#This Row],[TIEMPO INICIO]]="","",(MUESTREO_LABORAL_A2[[#This Row],[TIEMPO FIN]]-MUESTREO_LABORAL_A2[[#This Row],[TIEMPO INICIO]])*24)</f>
        <v>3.1500000000000021</v>
      </c>
      <c r="Q281" s="12"/>
      <c r="R281" s="12"/>
    </row>
    <row r="282" spans="2:18" ht="27.6" customHeight="1" x14ac:dyDescent="0.3">
      <c r="B282" s="2" t="s">
        <v>17</v>
      </c>
      <c r="C282" s="2" t="s">
        <v>198</v>
      </c>
      <c r="D282" s="8" t="s">
        <v>199</v>
      </c>
      <c r="E282" s="8" t="s">
        <v>200</v>
      </c>
      <c r="F282" s="9">
        <v>46010</v>
      </c>
      <c r="G282" s="9"/>
      <c r="H282" s="8"/>
      <c r="I282" s="8" t="s">
        <v>215</v>
      </c>
      <c r="J282" s="31" t="str">
        <f>IFERROR(VLOOKUP(MUESTREO_LABORAL_A2[[#This Row],[ACTIVIDAD]],'Lista Maestra'!$D$6:$F$190,3,0),"")</f>
        <v>PAGOS</v>
      </c>
      <c r="K282" s="31" t="str">
        <f>IFERROR(VLOOKUP(MUESTREO_LABORAL_A2[[#This Row],[ACTIVIDAD]],'Lista Maestra'!$D$6:$F$190,2,0),"")</f>
        <v>Suscribir y pagar las facturas de puertos acorde lo planificado en el fondeo semanal</v>
      </c>
      <c r="L282" s="8" t="s">
        <v>22</v>
      </c>
      <c r="M282" s="8"/>
      <c r="N282" s="10">
        <v>0.36666666666666659</v>
      </c>
      <c r="O282" s="10">
        <v>0.38680555555555562</v>
      </c>
      <c r="P282" s="7">
        <f>IF(MUESTREO_LABORAL_A2[[#This Row],[TIEMPO INICIO]]="","",(MUESTREO_LABORAL_A2[[#This Row],[TIEMPO FIN]]-MUESTREO_LABORAL_A2[[#This Row],[TIEMPO INICIO]])*24)</f>
        <v>0.48333333333333695</v>
      </c>
      <c r="Q282" s="12" t="s">
        <v>216</v>
      </c>
      <c r="R282" s="12"/>
    </row>
    <row r="283" spans="2:18" ht="27.6" customHeight="1" x14ac:dyDescent="0.3">
      <c r="B283" s="2" t="s">
        <v>17</v>
      </c>
      <c r="C283" s="2" t="s">
        <v>198</v>
      </c>
      <c r="D283" s="8" t="s">
        <v>199</v>
      </c>
      <c r="E283" s="8" t="s">
        <v>200</v>
      </c>
      <c r="F283" s="9">
        <v>46010</v>
      </c>
      <c r="G283" s="9"/>
      <c r="H283" s="8"/>
      <c r="I283" s="8" t="s">
        <v>201</v>
      </c>
      <c r="J283" s="31" t="str">
        <f>IFERROR(VLOOKUP(MUESTREO_LABORAL_A2[[#This Row],[ACTIVIDAD]],'Lista Maestra'!$D$6:$F$190,3,0),"")</f>
        <v>PAGOS</v>
      </c>
      <c r="K283" s="31" t="str">
        <f>IFERROR(VLOOKUP(MUESTREO_LABORAL_A2[[#This Row],[ACTIVIDAD]],'Lista Maestra'!$D$6:$F$190,2,0),"")</f>
        <v>Seleccionar en SAP las facturas que serán pagadas acorde lo planificado en el fondeo semanal</v>
      </c>
      <c r="L283" s="8" t="s">
        <v>22</v>
      </c>
      <c r="M283" s="8"/>
      <c r="N283" s="10">
        <v>0.38680555555555562</v>
      </c>
      <c r="O283" s="10">
        <v>0.41458333333333341</v>
      </c>
      <c r="P283" s="7">
        <f>IF(MUESTREO_LABORAL_A2[[#This Row],[TIEMPO INICIO]]="","",(MUESTREO_LABORAL_A2[[#This Row],[TIEMPO FIN]]-MUESTREO_LABORAL_A2[[#This Row],[TIEMPO INICIO]])*24)</f>
        <v>0.66666666666666696</v>
      </c>
      <c r="Q283" s="12"/>
      <c r="R283" s="12"/>
    </row>
    <row r="284" spans="2:18" x14ac:dyDescent="0.3">
      <c r="B284" s="2" t="s">
        <v>17</v>
      </c>
      <c r="C284" s="2" t="s">
        <v>198</v>
      </c>
      <c r="D284" s="8" t="s">
        <v>199</v>
      </c>
      <c r="E284" s="8" t="s">
        <v>200</v>
      </c>
      <c r="F284" s="9">
        <v>46010</v>
      </c>
      <c r="G284" s="9"/>
      <c r="H284" s="8"/>
      <c r="I284" s="8" t="s">
        <v>210</v>
      </c>
      <c r="J284" s="31" t="str">
        <f>IFERROR(VLOOKUP(MUESTREO_LABORAL_A2[[#This Row],[ACTIVIDAD]],'Lista Maestra'!$D$6:$F$190,3,0),"")</f>
        <v>ANÁLISIS Y CRITERIO INGENIERIL</v>
      </c>
      <c r="K284" s="31" t="str">
        <f>IFERROR(VLOOKUP(MUESTREO_LABORAL_A2[[#This Row],[ACTIVIDAD]],'Lista Maestra'!$D$6:$F$190,2,0),"")</f>
        <v>Reunión con Dirección, Subgerencia Financiera y agregados</v>
      </c>
      <c r="L284" s="8" t="s">
        <v>22</v>
      </c>
      <c r="M284" s="8"/>
      <c r="N284" s="10">
        <v>0.41458333333333341</v>
      </c>
      <c r="O284" s="10">
        <v>0.4777777777777778</v>
      </c>
      <c r="P284" s="7">
        <f>IF(MUESTREO_LABORAL_A2[[#This Row],[TIEMPO INICIO]]="","",(MUESTREO_LABORAL_A2[[#This Row],[TIEMPO FIN]]-MUESTREO_LABORAL_A2[[#This Row],[TIEMPO INICIO]])*24)</f>
        <v>1.5166666666666653</v>
      </c>
      <c r="Q284" s="12"/>
      <c r="R284" s="12"/>
    </row>
    <row r="285" spans="2:18" ht="27.6" customHeight="1" x14ac:dyDescent="0.3">
      <c r="B285" s="2" t="s">
        <v>17</v>
      </c>
      <c r="C285" s="2" t="s">
        <v>198</v>
      </c>
      <c r="D285" s="8" t="s">
        <v>199</v>
      </c>
      <c r="E285" s="8" t="s">
        <v>200</v>
      </c>
      <c r="F285" s="9">
        <v>46010</v>
      </c>
      <c r="G285" s="9"/>
      <c r="H285" s="8"/>
      <c r="I285" s="8" t="s">
        <v>201</v>
      </c>
      <c r="J285" s="31" t="str">
        <f>IFERROR(VLOOKUP(MUESTREO_LABORAL_A2[[#This Row],[ACTIVIDAD]],'Lista Maestra'!$D$6:$F$190,3,0),"")</f>
        <v>PAGOS</v>
      </c>
      <c r="K285" s="31" t="str">
        <f>IFERROR(VLOOKUP(MUESTREO_LABORAL_A2[[#This Row],[ACTIVIDAD]],'Lista Maestra'!$D$6:$F$190,2,0),"")</f>
        <v>Seleccionar en SAP las facturas que serán pagadas acorde lo planificado en el fondeo semanal</v>
      </c>
      <c r="L285" s="8" t="s">
        <v>22</v>
      </c>
      <c r="M285" s="8"/>
      <c r="N285" s="10">
        <v>0.4777777777777778</v>
      </c>
      <c r="O285" s="10">
        <v>0.5</v>
      </c>
      <c r="P285" s="7">
        <f>IF(MUESTREO_LABORAL_A2[[#This Row],[TIEMPO INICIO]]="","",(MUESTREO_LABORAL_A2[[#This Row],[TIEMPO FIN]]-MUESTREO_LABORAL_A2[[#This Row],[TIEMPO INICIO]])*24)</f>
        <v>0.53333333333333277</v>
      </c>
      <c r="Q285" s="12"/>
      <c r="R285" s="12"/>
    </row>
    <row r="286" spans="2:18" x14ac:dyDescent="0.3">
      <c r="B286" s="2" t="s">
        <v>17</v>
      </c>
      <c r="C286" s="2" t="s">
        <v>198</v>
      </c>
      <c r="D286" s="8" t="s">
        <v>199</v>
      </c>
      <c r="E286" s="8" t="s">
        <v>200</v>
      </c>
      <c r="F286" s="9">
        <v>46010</v>
      </c>
      <c r="G286" s="9"/>
      <c r="H286" s="8"/>
      <c r="I286" s="8" t="s">
        <v>33</v>
      </c>
      <c r="J286" s="31" t="str">
        <f>IFERROR(VLOOKUP(MUESTREO_LABORAL_A2[[#This Row],[ACTIVIDAD]],'Lista Maestra'!$D$6:$F$190,3,0),"")</f>
        <v>ALIMENTACIÓN</v>
      </c>
      <c r="K286" s="31" t="str">
        <f>IFERROR(VLOOKUP(MUESTREO_LABORAL_A2[[#This Row],[ACTIVIDAD]],'Lista Maestra'!$D$6:$F$190,2,0),"")</f>
        <v>ALIMENTARSE</v>
      </c>
      <c r="L286" s="8" t="s">
        <v>33</v>
      </c>
      <c r="M286" s="8"/>
      <c r="N286" s="10">
        <v>0.5</v>
      </c>
      <c r="O286" s="10">
        <v>0.53472222222222221</v>
      </c>
      <c r="P286" s="7">
        <f>IF(MUESTREO_LABORAL_A2[[#This Row],[TIEMPO INICIO]]="","",(MUESTREO_LABORAL_A2[[#This Row],[TIEMPO FIN]]-MUESTREO_LABORAL_A2[[#This Row],[TIEMPO INICIO]])*24)</f>
        <v>0.83333333333333304</v>
      </c>
      <c r="Q286" s="12"/>
      <c r="R286" s="12"/>
    </row>
    <row r="287" spans="2:18" ht="27.6" customHeight="1" x14ac:dyDescent="0.3">
      <c r="B287" s="2" t="s">
        <v>17</v>
      </c>
      <c r="C287" s="2" t="s">
        <v>198</v>
      </c>
      <c r="D287" s="8" t="s">
        <v>199</v>
      </c>
      <c r="E287" s="8" t="s">
        <v>200</v>
      </c>
      <c r="F287" s="9">
        <v>46010</v>
      </c>
      <c r="G287" s="9"/>
      <c r="H287" s="8"/>
      <c r="I287" s="8" t="s">
        <v>201</v>
      </c>
      <c r="J287" s="31" t="str">
        <f>IFERROR(VLOOKUP(MUESTREO_LABORAL_A2[[#This Row],[ACTIVIDAD]],'Lista Maestra'!$D$6:$F$190,3,0),"")</f>
        <v>PAGOS</v>
      </c>
      <c r="K287" s="31" t="str">
        <f>IFERROR(VLOOKUP(MUESTREO_LABORAL_A2[[#This Row],[ACTIVIDAD]],'Lista Maestra'!$D$6:$F$190,2,0),"")</f>
        <v>Seleccionar en SAP las facturas que serán pagadas acorde lo planificado en el fondeo semanal</v>
      </c>
      <c r="L287" s="8" t="s">
        <v>22</v>
      </c>
      <c r="M287" s="8"/>
      <c r="N287" s="10">
        <v>0.54166666666666663</v>
      </c>
      <c r="O287" s="10">
        <v>0.70486111111111116</v>
      </c>
      <c r="P287" s="7">
        <f>IF(MUESTREO_LABORAL_A2[[#This Row],[TIEMPO INICIO]]="","",(MUESTREO_LABORAL_A2[[#This Row],[TIEMPO FIN]]-MUESTREO_LABORAL_A2[[#This Row],[TIEMPO INICIO]])*24)</f>
        <v>3.9166666666666687</v>
      </c>
      <c r="Q287" s="12"/>
      <c r="R287" s="12"/>
    </row>
    <row r="288" spans="2:18" x14ac:dyDescent="0.3">
      <c r="B288" s="2" t="s">
        <v>17</v>
      </c>
      <c r="C288" s="2" t="s">
        <v>198</v>
      </c>
      <c r="D288" s="8" t="s">
        <v>217</v>
      </c>
      <c r="E288" s="8" t="s">
        <v>218</v>
      </c>
      <c r="F288" s="9" t="s">
        <v>219</v>
      </c>
      <c r="G288" s="9"/>
      <c r="H288" s="8"/>
      <c r="I288" s="8" t="s">
        <v>35</v>
      </c>
      <c r="J288" s="31" t="str">
        <f>IFERROR(VLOOKUP(MUESTREO_LABORAL_A2[[#This Row],[ACTIVIDAD]],'Lista Maestra'!$D$6:$F$190,3,0),"")</f>
        <v>DEFINICIÓN</v>
      </c>
      <c r="K288" s="31" t="str">
        <f>IFERROR(VLOOKUP(MUESTREO_LABORAL_A2[[#This Row],[ACTIVIDAD]],'Lista Maestra'!$D$6:$F$190,2,0),"")</f>
        <v>DEFINIR PROCESOS Y CRITERIOS INGENIERILES</v>
      </c>
      <c r="L288" s="8" t="s">
        <v>35</v>
      </c>
      <c r="M288" s="8"/>
      <c r="N288" s="10" t="s">
        <v>220</v>
      </c>
      <c r="O288" s="10" t="s">
        <v>221</v>
      </c>
      <c r="P288" s="7">
        <f>IF(MUESTREO_LABORAL_A2[[#This Row],[TIEMPO INICIO]]="","",(MUESTREO_LABORAL_A2[[#This Row],[TIEMPO FIN]]-MUESTREO_LABORAL_A2[[#This Row],[TIEMPO INICIO]])*24)</f>
        <v>0.31777777777777594</v>
      </c>
      <c r="Q288" s="12"/>
      <c r="R288" s="12"/>
    </row>
    <row r="289" spans="4:18" x14ac:dyDescent="0.3">
      <c r="D289" s="8"/>
      <c r="E289" s="8"/>
      <c r="F289" s="9"/>
      <c r="G289" s="9"/>
      <c r="H289" s="8"/>
      <c r="I289" s="8"/>
      <c r="J289" s="31" t="str">
        <f>IFERROR(VLOOKUP(MUESTREO_LABORAL_A2[[#This Row],[ACTIVIDAD]],'Lista Maestra'!$D$6:$F$190,3,0),"")</f>
        <v/>
      </c>
      <c r="K289" s="31" t="str">
        <f>IFERROR(VLOOKUP(MUESTREO_LABORAL_A2[[#This Row],[ACTIVIDAD]],'Lista Maestra'!$D$6:$F$190,2,0),"")</f>
        <v/>
      </c>
      <c r="L289" s="8"/>
      <c r="M289" s="8"/>
      <c r="N289" s="10"/>
      <c r="O289" s="10"/>
      <c r="P289" s="7" t="str">
        <f>IF(MUESTREO_LABORAL_A2[[#This Row],[TIEMPO INICIO]]="","",(MUESTREO_LABORAL_A2[[#This Row],[TIEMPO FIN]]-MUESTREO_LABORAL_A2[[#This Row],[TIEMPO INICIO]])*24)</f>
        <v/>
      </c>
      <c r="Q289" s="12"/>
      <c r="R289" s="12"/>
    </row>
    <row r="290" spans="4:18" x14ac:dyDescent="0.3">
      <c r="D290" s="8"/>
      <c r="E290" s="8"/>
      <c r="F290" s="9"/>
      <c r="G290" s="9"/>
      <c r="H290" s="8"/>
      <c r="I290" s="8"/>
      <c r="J290" s="31" t="str">
        <f>IFERROR(VLOOKUP(MUESTREO_LABORAL_A2[[#This Row],[ACTIVIDAD]],'Lista Maestra'!$D$6:$F$190,3,0),"")</f>
        <v/>
      </c>
      <c r="K290" s="31" t="str">
        <f>IFERROR(VLOOKUP(MUESTREO_LABORAL_A2[[#This Row],[ACTIVIDAD]],'Lista Maestra'!$D$6:$F$190,2,0),"")</f>
        <v/>
      </c>
      <c r="L290" s="8"/>
      <c r="M290" s="8"/>
      <c r="N290" s="10"/>
      <c r="O290" s="10"/>
      <c r="P290" s="7" t="str">
        <f>IF(MUESTREO_LABORAL_A2[[#This Row],[TIEMPO INICIO]]="","",(MUESTREO_LABORAL_A2[[#This Row],[TIEMPO FIN]]-MUESTREO_LABORAL_A2[[#This Row],[TIEMPO INICIO]])*24)</f>
        <v/>
      </c>
      <c r="Q290" s="12"/>
      <c r="R290" s="12"/>
    </row>
    <row r="291" spans="4:18" x14ac:dyDescent="0.3">
      <c r="D291" s="8"/>
      <c r="E291" s="8"/>
      <c r="F291" s="9"/>
      <c r="G291" s="9"/>
      <c r="H291" s="8"/>
      <c r="I291" s="8"/>
      <c r="J291" s="31" t="str">
        <f>IFERROR(VLOOKUP(MUESTREO_LABORAL_A2[[#This Row],[ACTIVIDAD]],'Lista Maestra'!$D$6:$F$190,3,0),"")</f>
        <v/>
      </c>
      <c r="K291" s="31" t="str">
        <f>IFERROR(VLOOKUP(MUESTREO_LABORAL_A2[[#This Row],[ACTIVIDAD]],'Lista Maestra'!$D$6:$F$190,2,0),"")</f>
        <v/>
      </c>
      <c r="L291" s="8"/>
      <c r="M291" s="8"/>
      <c r="N291" s="10"/>
      <c r="O291" s="10"/>
      <c r="P291" s="7" t="str">
        <f>IF(MUESTREO_LABORAL_A2[[#This Row],[TIEMPO INICIO]]="","",(MUESTREO_LABORAL_A2[[#This Row],[TIEMPO FIN]]-MUESTREO_LABORAL_A2[[#This Row],[TIEMPO INICIO]])*24)</f>
        <v/>
      </c>
      <c r="Q291" s="12"/>
      <c r="R291" s="12"/>
    </row>
    <row r="292" spans="4:18" x14ac:dyDescent="0.3">
      <c r="D292" s="8"/>
      <c r="E292" s="8"/>
      <c r="F292" s="9"/>
      <c r="G292" s="9"/>
      <c r="H292" s="8"/>
      <c r="I292" s="8"/>
      <c r="J292" s="31" t="str">
        <f>IFERROR(VLOOKUP(MUESTREO_LABORAL_A2[[#This Row],[ACTIVIDAD]],'Lista Maestra'!$D$6:$F$190,3,0),"")</f>
        <v/>
      </c>
      <c r="K292" s="31" t="str">
        <f>IFERROR(VLOOKUP(MUESTREO_LABORAL_A2[[#This Row],[ACTIVIDAD]],'Lista Maestra'!$D$6:$F$190,2,0),"")</f>
        <v/>
      </c>
      <c r="L292" s="8"/>
      <c r="M292" s="8"/>
      <c r="N292" s="10"/>
      <c r="O292" s="10"/>
      <c r="P292" s="7" t="str">
        <f>IF(MUESTREO_LABORAL_A2[[#This Row],[TIEMPO INICIO]]="","",(MUESTREO_LABORAL_A2[[#This Row],[TIEMPO FIN]]-MUESTREO_LABORAL_A2[[#This Row],[TIEMPO INICIO]])*24)</f>
        <v/>
      </c>
      <c r="Q292" s="12"/>
      <c r="R292" s="12"/>
    </row>
    <row r="293" spans="4:18" x14ac:dyDescent="0.3">
      <c r="D293" s="8"/>
      <c r="E293" s="8"/>
      <c r="F293" s="9"/>
      <c r="G293" s="9"/>
      <c r="H293" s="8"/>
      <c r="I293" s="8"/>
      <c r="J293" s="31" t="str">
        <f>IFERROR(VLOOKUP(MUESTREO_LABORAL_A2[[#This Row],[ACTIVIDAD]],'Lista Maestra'!$D$6:$F$190,3,0),"")</f>
        <v/>
      </c>
      <c r="K293" s="31" t="str">
        <f>IFERROR(VLOOKUP(MUESTREO_LABORAL_A2[[#This Row],[ACTIVIDAD]],'Lista Maestra'!$D$6:$F$190,2,0),"")</f>
        <v/>
      </c>
      <c r="L293" s="8"/>
      <c r="M293" s="8"/>
      <c r="N293" s="10"/>
      <c r="O293" s="10"/>
      <c r="P293" s="7" t="str">
        <f>IF(MUESTREO_LABORAL_A2[[#This Row],[TIEMPO INICIO]]="","",(MUESTREO_LABORAL_A2[[#This Row],[TIEMPO FIN]]-MUESTREO_LABORAL_A2[[#This Row],[TIEMPO INICIO]])*24)</f>
        <v/>
      </c>
      <c r="Q293" s="12"/>
      <c r="R293" s="12"/>
    </row>
    <row r="294" spans="4:18" x14ac:dyDescent="0.3">
      <c r="D294" s="8"/>
      <c r="E294" s="8"/>
      <c r="F294" s="9"/>
      <c r="G294" s="9"/>
      <c r="H294" s="8"/>
      <c r="I294" s="8"/>
      <c r="J294" s="31" t="str">
        <f>IFERROR(VLOOKUP(MUESTREO_LABORAL_A2[[#This Row],[ACTIVIDAD]],'Lista Maestra'!$D$6:$F$190,3,0),"")</f>
        <v/>
      </c>
      <c r="K294" s="31" t="str">
        <f>IFERROR(VLOOKUP(MUESTREO_LABORAL_A2[[#This Row],[ACTIVIDAD]],'Lista Maestra'!$D$6:$F$190,2,0),"")</f>
        <v/>
      </c>
      <c r="L294" s="8"/>
      <c r="M294" s="8"/>
      <c r="N294" s="10"/>
      <c r="O294" s="10"/>
      <c r="P294" s="7" t="str">
        <f>IF(MUESTREO_LABORAL_A2[[#This Row],[TIEMPO INICIO]]="","",(MUESTREO_LABORAL_A2[[#This Row],[TIEMPO FIN]]-MUESTREO_LABORAL_A2[[#This Row],[TIEMPO INICIO]])*24)</f>
        <v/>
      </c>
      <c r="Q294" s="12"/>
      <c r="R294" s="12"/>
    </row>
    <row r="295" spans="4:18" x14ac:dyDescent="0.3">
      <c r="D295" s="8"/>
      <c r="E295" s="8"/>
      <c r="F295" s="9"/>
      <c r="G295" s="9"/>
      <c r="H295" s="8"/>
      <c r="I295" s="8"/>
      <c r="J295" s="31" t="str">
        <f>IFERROR(VLOOKUP(MUESTREO_LABORAL_A2[[#This Row],[ACTIVIDAD]],'Lista Maestra'!$D$6:$F$190,3,0),"")</f>
        <v/>
      </c>
      <c r="K295" s="31" t="str">
        <f>IFERROR(VLOOKUP(MUESTREO_LABORAL_A2[[#This Row],[ACTIVIDAD]],'Lista Maestra'!$D$6:$F$190,2,0),"")</f>
        <v/>
      </c>
      <c r="L295" s="8"/>
      <c r="M295" s="8"/>
      <c r="N295" s="10"/>
      <c r="O295" s="10"/>
      <c r="P295" s="7" t="str">
        <f>IF(MUESTREO_LABORAL_A2[[#This Row],[TIEMPO INICIO]]="","",(MUESTREO_LABORAL_A2[[#This Row],[TIEMPO FIN]]-MUESTREO_LABORAL_A2[[#This Row],[TIEMPO INICIO]])*24)</f>
        <v/>
      </c>
      <c r="Q295" s="12"/>
      <c r="R295" s="12"/>
    </row>
    <row r="296" spans="4:18" x14ac:dyDescent="0.3">
      <c r="D296" s="8"/>
      <c r="E296" s="8"/>
      <c r="F296" s="9"/>
      <c r="G296" s="9"/>
      <c r="H296" s="8"/>
      <c r="I296" s="8"/>
      <c r="J296" s="31" t="str">
        <f>IFERROR(VLOOKUP(MUESTREO_LABORAL_A2[[#This Row],[ACTIVIDAD]],'Lista Maestra'!$D$6:$F$190,3,0),"")</f>
        <v/>
      </c>
      <c r="K296" s="31" t="str">
        <f>IFERROR(VLOOKUP(MUESTREO_LABORAL_A2[[#This Row],[ACTIVIDAD]],'Lista Maestra'!$D$6:$F$190,2,0),"")</f>
        <v/>
      </c>
      <c r="L296" s="8"/>
      <c r="M296" s="8"/>
      <c r="N296" s="10"/>
      <c r="O296" s="10"/>
      <c r="P296" s="7" t="str">
        <f>IF(MUESTREO_LABORAL_A2[[#This Row],[TIEMPO INICIO]]="","",(MUESTREO_LABORAL_A2[[#This Row],[TIEMPO FIN]]-MUESTREO_LABORAL_A2[[#This Row],[TIEMPO INICIO]])*24)</f>
        <v/>
      </c>
      <c r="Q296" s="12"/>
      <c r="R296" s="12"/>
    </row>
    <row r="297" spans="4:18" x14ac:dyDescent="0.3">
      <c r="D297" s="8"/>
      <c r="E297" s="8"/>
      <c r="F297" s="9"/>
      <c r="G297" s="9"/>
      <c r="H297" s="8"/>
      <c r="I297" s="8"/>
      <c r="J297" s="31" t="str">
        <f>IFERROR(VLOOKUP(MUESTREO_LABORAL_A2[[#This Row],[ACTIVIDAD]],'Lista Maestra'!$D$6:$F$190,3,0),"")</f>
        <v/>
      </c>
      <c r="K297" s="31" t="str">
        <f>IFERROR(VLOOKUP(MUESTREO_LABORAL_A2[[#This Row],[ACTIVIDAD]],'Lista Maestra'!$D$6:$F$190,2,0),"")</f>
        <v/>
      </c>
      <c r="L297" s="8"/>
      <c r="M297" s="8"/>
      <c r="N297" s="10"/>
      <c r="O297" s="10"/>
      <c r="P297" s="7" t="str">
        <f>IF(MUESTREO_LABORAL_A2[[#This Row],[TIEMPO INICIO]]="","",(MUESTREO_LABORAL_A2[[#This Row],[TIEMPO FIN]]-MUESTREO_LABORAL_A2[[#This Row],[TIEMPO INICIO]])*24)</f>
        <v/>
      </c>
      <c r="Q297" s="12"/>
      <c r="R297" s="12"/>
    </row>
    <row r="298" spans="4:18" x14ac:dyDescent="0.3">
      <c r="D298" s="8"/>
      <c r="E298" s="8"/>
      <c r="F298" s="9"/>
      <c r="G298" s="9"/>
      <c r="H298" s="8"/>
      <c r="I298" s="8"/>
      <c r="J298" s="31" t="str">
        <f>IFERROR(VLOOKUP(MUESTREO_LABORAL_A2[[#This Row],[ACTIVIDAD]],'Lista Maestra'!$D$6:$F$190,3,0),"")</f>
        <v/>
      </c>
      <c r="K298" s="31" t="str">
        <f>IFERROR(VLOOKUP(MUESTREO_LABORAL_A2[[#This Row],[ACTIVIDAD]],'Lista Maestra'!$D$6:$F$190,2,0),"")</f>
        <v/>
      </c>
      <c r="L298" s="8"/>
      <c r="M298" s="8"/>
      <c r="N298" s="10"/>
      <c r="O298" s="10"/>
      <c r="P298" s="7" t="str">
        <f>IF(MUESTREO_LABORAL_A2[[#This Row],[TIEMPO INICIO]]="","",(MUESTREO_LABORAL_A2[[#This Row],[TIEMPO FIN]]-MUESTREO_LABORAL_A2[[#This Row],[TIEMPO INICIO]])*24)</f>
        <v/>
      </c>
      <c r="Q298" s="12"/>
      <c r="R298" s="12"/>
    </row>
    <row r="299" spans="4:18" x14ac:dyDescent="0.3">
      <c r="D299" s="8"/>
      <c r="E299" s="8"/>
      <c r="F299" s="9"/>
      <c r="G299" s="9"/>
      <c r="H299" s="8"/>
      <c r="I299" s="8"/>
      <c r="J299" s="31" t="str">
        <f>IFERROR(VLOOKUP(MUESTREO_LABORAL_A2[[#This Row],[ACTIVIDAD]],'Lista Maestra'!$D$6:$F$190,3,0),"")</f>
        <v/>
      </c>
      <c r="K299" s="31" t="str">
        <f>IFERROR(VLOOKUP(MUESTREO_LABORAL_A2[[#This Row],[ACTIVIDAD]],'Lista Maestra'!$D$6:$F$190,2,0),"")</f>
        <v/>
      </c>
      <c r="L299" s="8"/>
      <c r="M299" s="8"/>
      <c r="N299" s="10"/>
      <c r="O299" s="10"/>
      <c r="P299" s="7" t="str">
        <f>IF(MUESTREO_LABORAL_A2[[#This Row],[TIEMPO INICIO]]="","",(MUESTREO_LABORAL_A2[[#This Row],[TIEMPO FIN]]-MUESTREO_LABORAL_A2[[#This Row],[TIEMPO INICIO]])*24)</f>
        <v/>
      </c>
      <c r="Q299" s="12"/>
      <c r="R299" s="12"/>
    </row>
    <row r="300" spans="4:18" x14ac:dyDescent="0.3">
      <c r="D300" s="8"/>
      <c r="E300" s="8"/>
      <c r="F300" s="9"/>
      <c r="G300" s="9"/>
      <c r="H300" s="8"/>
      <c r="I300" s="8"/>
      <c r="J300" s="31" t="str">
        <f>IFERROR(VLOOKUP(MUESTREO_LABORAL_A2[[#This Row],[ACTIVIDAD]],'Lista Maestra'!$D$6:$F$190,3,0),"")</f>
        <v/>
      </c>
      <c r="K300" s="31" t="str">
        <f>IFERROR(VLOOKUP(MUESTREO_LABORAL_A2[[#This Row],[ACTIVIDAD]],'Lista Maestra'!$D$6:$F$190,2,0),"")</f>
        <v/>
      </c>
      <c r="L300" s="8"/>
      <c r="M300" s="8"/>
      <c r="N300" s="10"/>
      <c r="O300" s="10"/>
      <c r="P300" s="7" t="str">
        <f>IF(MUESTREO_LABORAL_A2[[#This Row],[TIEMPO INICIO]]="","",(MUESTREO_LABORAL_A2[[#This Row],[TIEMPO FIN]]-MUESTREO_LABORAL_A2[[#This Row],[TIEMPO INICIO]])*24)</f>
        <v/>
      </c>
      <c r="Q300" s="12"/>
      <c r="R300" s="12"/>
    </row>
    <row r="301" spans="4:18" x14ac:dyDescent="0.3">
      <c r="D301" s="8"/>
      <c r="E301" s="8"/>
      <c r="F301" s="9"/>
      <c r="G301" s="9"/>
      <c r="H301" s="8"/>
      <c r="I301" s="8"/>
      <c r="J301" s="31" t="str">
        <f>IFERROR(VLOOKUP(MUESTREO_LABORAL_A2[[#This Row],[ACTIVIDAD]],'Lista Maestra'!$D$6:$F$190,3,0),"")</f>
        <v/>
      </c>
      <c r="K301" s="31" t="str">
        <f>IFERROR(VLOOKUP(MUESTREO_LABORAL_A2[[#This Row],[ACTIVIDAD]],'Lista Maestra'!$D$6:$F$190,2,0),"")</f>
        <v/>
      </c>
      <c r="L301" s="8"/>
      <c r="M301" s="8"/>
      <c r="N301" s="10"/>
      <c r="O301" s="10"/>
      <c r="P301" s="7" t="str">
        <f>IF(MUESTREO_LABORAL_A2[[#This Row],[TIEMPO INICIO]]="","",(MUESTREO_LABORAL_A2[[#This Row],[TIEMPO FIN]]-MUESTREO_LABORAL_A2[[#This Row],[TIEMPO INICIO]])*24)</f>
        <v/>
      </c>
      <c r="Q301" s="12"/>
      <c r="R301" s="12"/>
    </row>
    <row r="302" spans="4:18" x14ac:dyDescent="0.3">
      <c r="D302" s="8"/>
      <c r="E302" s="8"/>
      <c r="F302" s="9"/>
      <c r="G302" s="9"/>
      <c r="H302" s="8"/>
      <c r="I302" s="8"/>
      <c r="J302" s="31" t="str">
        <f>IFERROR(VLOOKUP(MUESTREO_LABORAL_A2[[#This Row],[ACTIVIDAD]],'Lista Maestra'!$D$6:$F$190,3,0),"")</f>
        <v/>
      </c>
      <c r="K302" s="31" t="str">
        <f>IFERROR(VLOOKUP(MUESTREO_LABORAL_A2[[#This Row],[ACTIVIDAD]],'Lista Maestra'!$D$6:$F$190,2,0),"")</f>
        <v/>
      </c>
      <c r="L302" s="8"/>
      <c r="M302" s="8"/>
      <c r="N302" s="10"/>
      <c r="O302" s="10"/>
      <c r="P302" s="7" t="str">
        <f>IF(MUESTREO_LABORAL_A2[[#This Row],[TIEMPO INICIO]]="","",(MUESTREO_LABORAL_A2[[#This Row],[TIEMPO FIN]]-MUESTREO_LABORAL_A2[[#This Row],[TIEMPO INICIO]])*24)</f>
        <v/>
      </c>
      <c r="Q302" s="12"/>
      <c r="R302" s="12"/>
    </row>
    <row r="303" spans="4:18" x14ac:dyDescent="0.3">
      <c r="D303" s="8"/>
      <c r="E303" s="8"/>
      <c r="F303" s="9"/>
      <c r="G303" s="9"/>
      <c r="H303" s="8"/>
      <c r="I303" s="8"/>
      <c r="J303" s="31" t="str">
        <f>IFERROR(VLOOKUP(MUESTREO_LABORAL_A2[[#This Row],[ACTIVIDAD]],'Lista Maestra'!$D$6:$F$190,3,0),"")</f>
        <v/>
      </c>
      <c r="K303" s="31" t="str">
        <f>IFERROR(VLOOKUP(MUESTREO_LABORAL_A2[[#This Row],[ACTIVIDAD]],'Lista Maestra'!$D$6:$F$190,2,0),"")</f>
        <v/>
      </c>
      <c r="L303" s="8"/>
      <c r="M303" s="8"/>
      <c r="N303" s="10"/>
      <c r="O303" s="10"/>
      <c r="P303" s="7" t="str">
        <f>IF(MUESTREO_LABORAL_A2[[#This Row],[TIEMPO INICIO]]="","",(MUESTREO_LABORAL_A2[[#This Row],[TIEMPO FIN]]-MUESTREO_LABORAL_A2[[#This Row],[TIEMPO INICIO]])*24)</f>
        <v/>
      </c>
      <c r="Q303" s="12"/>
      <c r="R303" s="12"/>
    </row>
    <row r="304" spans="4:18" x14ac:dyDescent="0.3">
      <c r="D304" s="8"/>
      <c r="E304" s="8"/>
      <c r="F304" s="9"/>
      <c r="G304" s="9"/>
      <c r="H304" s="8"/>
      <c r="I304" s="8"/>
      <c r="J304" s="31" t="str">
        <f>IFERROR(VLOOKUP(MUESTREO_LABORAL_A2[[#This Row],[ACTIVIDAD]],'Lista Maestra'!$D$6:$F$190,3,0),"")</f>
        <v/>
      </c>
      <c r="K304" s="31" t="str">
        <f>IFERROR(VLOOKUP(MUESTREO_LABORAL_A2[[#This Row],[ACTIVIDAD]],'Lista Maestra'!$D$6:$F$190,2,0),"")</f>
        <v/>
      </c>
      <c r="L304" s="8"/>
      <c r="M304" s="8"/>
      <c r="N304" s="10"/>
      <c r="O304" s="10"/>
      <c r="P304" s="7" t="str">
        <f>IF(MUESTREO_LABORAL_A2[[#This Row],[TIEMPO INICIO]]="","",(MUESTREO_LABORAL_A2[[#This Row],[TIEMPO FIN]]-MUESTREO_LABORAL_A2[[#This Row],[TIEMPO INICIO]])*24)</f>
        <v/>
      </c>
      <c r="Q304" s="12"/>
      <c r="R304" s="12"/>
    </row>
    <row r="305" spans="4:18" x14ac:dyDescent="0.3">
      <c r="D305" s="8"/>
      <c r="E305" s="8"/>
      <c r="F305" s="9"/>
      <c r="G305" s="9"/>
      <c r="H305" s="8"/>
      <c r="I305" s="8"/>
      <c r="J305" s="31" t="str">
        <f>IFERROR(VLOOKUP(MUESTREO_LABORAL_A2[[#This Row],[ACTIVIDAD]],'Lista Maestra'!$D$6:$F$190,3,0),"")</f>
        <v/>
      </c>
      <c r="K305" s="31" t="str">
        <f>IFERROR(VLOOKUP(MUESTREO_LABORAL_A2[[#This Row],[ACTIVIDAD]],'Lista Maestra'!$D$6:$F$190,2,0),"")</f>
        <v/>
      </c>
      <c r="L305" s="8"/>
      <c r="M305" s="8"/>
      <c r="N305" s="10"/>
      <c r="O305" s="10"/>
      <c r="P305" s="7" t="str">
        <f>IF(MUESTREO_LABORAL_A2[[#This Row],[TIEMPO INICIO]]="","",(MUESTREO_LABORAL_A2[[#This Row],[TIEMPO FIN]]-MUESTREO_LABORAL_A2[[#This Row],[TIEMPO INICIO]])*24)</f>
        <v/>
      </c>
      <c r="Q305" s="12"/>
      <c r="R305" s="12"/>
    </row>
    <row r="306" spans="4:18" x14ac:dyDescent="0.3">
      <c r="D306" s="8"/>
      <c r="E306" s="8"/>
      <c r="F306" s="9"/>
      <c r="G306" s="9"/>
      <c r="H306" s="8"/>
      <c r="I306" s="8"/>
      <c r="J306" s="31" t="str">
        <f>IFERROR(VLOOKUP(MUESTREO_LABORAL_A2[[#This Row],[ACTIVIDAD]],'Lista Maestra'!$D$6:$F$190,3,0),"")</f>
        <v/>
      </c>
      <c r="K306" s="31" t="str">
        <f>IFERROR(VLOOKUP(MUESTREO_LABORAL_A2[[#This Row],[ACTIVIDAD]],'Lista Maestra'!$D$6:$F$190,2,0),"")</f>
        <v/>
      </c>
      <c r="L306" s="8"/>
      <c r="M306" s="8"/>
      <c r="N306" s="10"/>
      <c r="O306" s="10"/>
      <c r="P306" s="7" t="str">
        <f>IF(MUESTREO_LABORAL_A2[[#This Row],[TIEMPO INICIO]]="","",(MUESTREO_LABORAL_A2[[#This Row],[TIEMPO FIN]]-MUESTREO_LABORAL_A2[[#This Row],[TIEMPO INICIO]])*24)</f>
        <v/>
      </c>
      <c r="Q306" s="12"/>
      <c r="R306" s="12"/>
    </row>
    <row r="307" spans="4:18" x14ac:dyDescent="0.3">
      <c r="D307" s="8"/>
      <c r="E307" s="8"/>
      <c r="F307" s="9"/>
      <c r="G307" s="9"/>
      <c r="H307" s="8"/>
      <c r="I307" s="8"/>
      <c r="J307" s="31" t="str">
        <f>IFERROR(VLOOKUP(MUESTREO_LABORAL_A2[[#This Row],[ACTIVIDAD]],'Lista Maestra'!$D$6:$F$190,3,0),"")</f>
        <v/>
      </c>
      <c r="K307" s="31" t="str">
        <f>IFERROR(VLOOKUP(MUESTREO_LABORAL_A2[[#This Row],[ACTIVIDAD]],'Lista Maestra'!$D$6:$F$190,2,0),"")</f>
        <v/>
      </c>
      <c r="L307" s="8"/>
      <c r="M307" s="8"/>
      <c r="N307" s="10"/>
      <c r="O307" s="10"/>
      <c r="P307" s="7" t="str">
        <f>IF(MUESTREO_LABORAL_A2[[#This Row],[TIEMPO INICIO]]="","",(MUESTREO_LABORAL_A2[[#This Row],[TIEMPO FIN]]-MUESTREO_LABORAL_A2[[#This Row],[TIEMPO INICIO]])*24)</f>
        <v/>
      </c>
      <c r="Q307" s="12"/>
      <c r="R307" s="12"/>
    </row>
    <row r="308" spans="4:18" x14ac:dyDescent="0.3">
      <c r="D308" s="8"/>
      <c r="E308" s="8"/>
      <c r="F308" s="9"/>
      <c r="G308" s="9"/>
      <c r="H308" s="8"/>
      <c r="I308" s="8"/>
      <c r="J308" s="31" t="str">
        <f>IFERROR(VLOOKUP(MUESTREO_LABORAL_A2[[#This Row],[ACTIVIDAD]],'Lista Maestra'!$D$6:$F$190,3,0),"")</f>
        <v/>
      </c>
      <c r="K308" s="31" t="str">
        <f>IFERROR(VLOOKUP(MUESTREO_LABORAL_A2[[#This Row],[ACTIVIDAD]],'Lista Maestra'!$D$6:$F$190,2,0),"")</f>
        <v/>
      </c>
      <c r="L308" s="8"/>
      <c r="M308" s="8"/>
      <c r="N308" s="10"/>
      <c r="O308" s="10"/>
      <c r="P308" s="7" t="str">
        <f>IF(MUESTREO_LABORAL_A2[[#This Row],[TIEMPO INICIO]]="","",(MUESTREO_LABORAL_A2[[#This Row],[TIEMPO FIN]]-MUESTREO_LABORAL_A2[[#This Row],[TIEMPO INICIO]])*24)</f>
        <v/>
      </c>
      <c r="Q308" s="12"/>
      <c r="R308" s="12"/>
    </row>
    <row r="309" spans="4:18" x14ac:dyDescent="0.3">
      <c r="D309" s="8"/>
      <c r="E309" s="8"/>
      <c r="F309" s="9"/>
      <c r="G309" s="9"/>
      <c r="H309" s="8"/>
      <c r="I309" s="8"/>
      <c r="J309" s="31" t="str">
        <f>IFERROR(VLOOKUP(MUESTREO_LABORAL_A2[[#This Row],[ACTIVIDAD]],'Lista Maestra'!$D$6:$F$190,3,0),"")</f>
        <v/>
      </c>
      <c r="K309" s="31" t="str">
        <f>IFERROR(VLOOKUP(MUESTREO_LABORAL_A2[[#This Row],[ACTIVIDAD]],'Lista Maestra'!$D$6:$F$190,2,0),"")</f>
        <v/>
      </c>
      <c r="L309" s="8"/>
      <c r="M309" s="8"/>
      <c r="N309" s="10"/>
      <c r="O309" s="10"/>
      <c r="P309" s="7" t="str">
        <f>IF(MUESTREO_LABORAL_A2[[#This Row],[TIEMPO INICIO]]="","",(MUESTREO_LABORAL_A2[[#This Row],[TIEMPO FIN]]-MUESTREO_LABORAL_A2[[#This Row],[TIEMPO INICIO]])*24)</f>
        <v/>
      </c>
      <c r="Q309" s="12"/>
      <c r="R309" s="12"/>
    </row>
    <row r="310" spans="4:18" x14ac:dyDescent="0.3">
      <c r="D310" s="8"/>
      <c r="E310" s="8"/>
      <c r="F310" s="9"/>
      <c r="G310" s="9"/>
      <c r="H310" s="8"/>
      <c r="I310" s="8"/>
      <c r="J310" s="31" t="str">
        <f>IFERROR(VLOOKUP(MUESTREO_LABORAL_A2[[#This Row],[ACTIVIDAD]],'Lista Maestra'!$D$6:$F$190,3,0),"")</f>
        <v/>
      </c>
      <c r="K310" s="31" t="str">
        <f>IFERROR(VLOOKUP(MUESTREO_LABORAL_A2[[#This Row],[ACTIVIDAD]],'Lista Maestra'!$D$6:$F$190,2,0),"")</f>
        <v/>
      </c>
      <c r="L310" s="8"/>
      <c r="M310" s="8"/>
      <c r="N310" s="10"/>
      <c r="O310" s="10"/>
      <c r="P310" s="7" t="str">
        <f>IF(MUESTREO_LABORAL_A2[[#This Row],[TIEMPO INICIO]]="","",(MUESTREO_LABORAL_A2[[#This Row],[TIEMPO FIN]]-MUESTREO_LABORAL_A2[[#This Row],[TIEMPO INICIO]])*24)</f>
        <v/>
      </c>
      <c r="Q310" s="12"/>
      <c r="R310" s="12"/>
    </row>
    <row r="311" spans="4:18" x14ac:dyDescent="0.3">
      <c r="D311" s="8"/>
      <c r="E311" s="8"/>
      <c r="F311" s="9"/>
      <c r="G311" s="9"/>
      <c r="H311" s="8"/>
      <c r="I311" s="8"/>
      <c r="J311" s="31" t="str">
        <f>IFERROR(VLOOKUP(MUESTREO_LABORAL_A2[[#This Row],[ACTIVIDAD]],'Lista Maestra'!$D$6:$F$190,3,0),"")</f>
        <v/>
      </c>
      <c r="K311" s="31" t="str">
        <f>IFERROR(VLOOKUP(MUESTREO_LABORAL_A2[[#This Row],[ACTIVIDAD]],'Lista Maestra'!$D$6:$F$190,2,0),"")</f>
        <v/>
      </c>
      <c r="L311" s="8"/>
      <c r="M311" s="8"/>
      <c r="N311" s="10"/>
      <c r="O311" s="10"/>
      <c r="P311" s="7" t="str">
        <f>IF(MUESTREO_LABORAL_A2[[#This Row],[TIEMPO INICIO]]="","",(MUESTREO_LABORAL_A2[[#This Row],[TIEMPO FIN]]-MUESTREO_LABORAL_A2[[#This Row],[TIEMPO INICIO]])*24)</f>
        <v/>
      </c>
      <c r="Q311" s="12"/>
      <c r="R311" s="12"/>
    </row>
    <row r="312" spans="4:18" x14ac:dyDescent="0.3">
      <c r="D312" s="8"/>
      <c r="E312" s="8"/>
      <c r="F312" s="9"/>
      <c r="G312" s="9"/>
      <c r="H312" s="8"/>
      <c r="I312" s="8"/>
      <c r="J312" s="31" t="str">
        <f>IFERROR(VLOOKUP(MUESTREO_LABORAL_A2[[#This Row],[ACTIVIDAD]],'Lista Maestra'!$D$6:$F$190,3,0),"")</f>
        <v/>
      </c>
      <c r="K312" s="31" t="str">
        <f>IFERROR(VLOOKUP(MUESTREO_LABORAL_A2[[#This Row],[ACTIVIDAD]],'Lista Maestra'!$D$6:$F$190,2,0),"")</f>
        <v/>
      </c>
      <c r="L312" s="8"/>
      <c r="M312" s="8"/>
      <c r="N312" s="10"/>
      <c r="O312" s="10"/>
      <c r="P312" s="7" t="str">
        <f>IF(MUESTREO_LABORAL_A2[[#This Row],[TIEMPO INICIO]]="","",(MUESTREO_LABORAL_A2[[#This Row],[TIEMPO FIN]]-MUESTREO_LABORAL_A2[[#This Row],[TIEMPO INICIO]])*24)</f>
        <v/>
      </c>
      <c r="Q312" s="12"/>
      <c r="R312" s="12"/>
    </row>
    <row r="313" spans="4:18" x14ac:dyDescent="0.3">
      <c r="D313" s="8"/>
      <c r="E313" s="8"/>
      <c r="F313" s="9"/>
      <c r="G313" s="9"/>
      <c r="H313" s="8"/>
      <c r="I313" s="8"/>
      <c r="J313" s="31" t="str">
        <f>IFERROR(VLOOKUP(MUESTREO_LABORAL_A2[[#This Row],[ACTIVIDAD]],'Lista Maestra'!$D$6:$F$190,3,0),"")</f>
        <v/>
      </c>
      <c r="K313" s="31" t="str">
        <f>IFERROR(VLOOKUP(MUESTREO_LABORAL_A2[[#This Row],[ACTIVIDAD]],'Lista Maestra'!$D$6:$F$190,2,0),"")</f>
        <v/>
      </c>
      <c r="L313" s="8"/>
      <c r="M313" s="8"/>
      <c r="N313" s="10"/>
      <c r="O313" s="10"/>
      <c r="P313" s="7" t="str">
        <f>IF(MUESTREO_LABORAL_A2[[#This Row],[TIEMPO INICIO]]="","",(MUESTREO_LABORAL_A2[[#This Row],[TIEMPO FIN]]-MUESTREO_LABORAL_A2[[#This Row],[TIEMPO INICIO]])*24)</f>
        <v/>
      </c>
      <c r="Q313" s="12"/>
      <c r="R313" s="12"/>
    </row>
    <row r="314" spans="4:18" x14ac:dyDescent="0.3">
      <c r="D314" s="8"/>
      <c r="E314" s="8"/>
      <c r="F314" s="9"/>
      <c r="G314" s="9"/>
      <c r="H314" s="8"/>
      <c r="I314" s="8"/>
      <c r="J314" s="31" t="str">
        <f>IFERROR(VLOOKUP(MUESTREO_LABORAL_A2[[#This Row],[ACTIVIDAD]],'Lista Maestra'!$D$6:$F$190,3,0),"")</f>
        <v/>
      </c>
      <c r="K314" s="31" t="str">
        <f>IFERROR(VLOOKUP(MUESTREO_LABORAL_A2[[#This Row],[ACTIVIDAD]],'Lista Maestra'!$D$6:$F$190,2,0),"")</f>
        <v/>
      </c>
      <c r="L314" s="8"/>
      <c r="M314" s="8"/>
      <c r="N314" s="10"/>
      <c r="O314" s="10"/>
      <c r="P314" s="7" t="str">
        <f>IF(MUESTREO_LABORAL_A2[[#This Row],[TIEMPO INICIO]]="","",(MUESTREO_LABORAL_A2[[#This Row],[TIEMPO FIN]]-MUESTREO_LABORAL_A2[[#This Row],[TIEMPO INICIO]])*24)</f>
        <v/>
      </c>
      <c r="Q314" s="12"/>
      <c r="R314" s="12"/>
    </row>
    <row r="315" spans="4:18" x14ac:dyDescent="0.3">
      <c r="D315" s="8"/>
      <c r="E315" s="8"/>
      <c r="F315" s="9"/>
      <c r="G315" s="9"/>
      <c r="H315" s="8"/>
      <c r="I315" s="8"/>
      <c r="J315" s="31" t="str">
        <f>IFERROR(VLOOKUP(MUESTREO_LABORAL_A2[[#This Row],[ACTIVIDAD]],'Lista Maestra'!$D$6:$F$190,3,0),"")</f>
        <v/>
      </c>
      <c r="K315" s="31" t="str">
        <f>IFERROR(VLOOKUP(MUESTREO_LABORAL_A2[[#This Row],[ACTIVIDAD]],'Lista Maestra'!$D$6:$F$190,2,0),"")</f>
        <v/>
      </c>
      <c r="L315" s="8"/>
      <c r="M315" s="8"/>
      <c r="N315" s="10"/>
      <c r="O315" s="10"/>
      <c r="P315" s="7" t="str">
        <f>IF(MUESTREO_LABORAL_A2[[#This Row],[TIEMPO INICIO]]="","",(MUESTREO_LABORAL_A2[[#This Row],[TIEMPO FIN]]-MUESTREO_LABORAL_A2[[#This Row],[TIEMPO INICIO]])*24)</f>
        <v/>
      </c>
      <c r="Q315" s="12"/>
      <c r="R315" s="12"/>
    </row>
    <row r="316" spans="4:18" x14ac:dyDescent="0.3">
      <c r="D316" s="8"/>
      <c r="E316" s="8"/>
      <c r="F316" s="9"/>
      <c r="G316" s="9"/>
      <c r="H316" s="8"/>
      <c r="I316" s="8"/>
      <c r="J316" s="31" t="str">
        <f>IFERROR(VLOOKUP(MUESTREO_LABORAL_A2[[#This Row],[ACTIVIDAD]],'Lista Maestra'!$D$6:$F$190,3,0),"")</f>
        <v/>
      </c>
      <c r="K316" s="31" t="str">
        <f>IFERROR(VLOOKUP(MUESTREO_LABORAL_A2[[#This Row],[ACTIVIDAD]],'Lista Maestra'!$D$6:$F$190,2,0),"")</f>
        <v/>
      </c>
      <c r="L316" s="8"/>
      <c r="M316" s="8"/>
      <c r="N316" s="10"/>
      <c r="O316" s="10"/>
      <c r="P316" s="7" t="str">
        <f>IF(MUESTREO_LABORAL_A2[[#This Row],[TIEMPO INICIO]]="","",(MUESTREO_LABORAL_A2[[#This Row],[TIEMPO FIN]]-MUESTREO_LABORAL_A2[[#This Row],[TIEMPO INICIO]])*24)</f>
        <v/>
      </c>
      <c r="Q316" s="12"/>
      <c r="R316" s="12"/>
    </row>
    <row r="317" spans="4:18" x14ac:dyDescent="0.3">
      <c r="D317" s="8"/>
      <c r="E317" s="8"/>
      <c r="F317" s="9"/>
      <c r="G317" s="9"/>
      <c r="H317" s="8"/>
      <c r="I317" s="8"/>
      <c r="J317" s="31" t="str">
        <f>IFERROR(VLOOKUP(MUESTREO_LABORAL_A2[[#This Row],[ACTIVIDAD]],'Lista Maestra'!$D$6:$F$190,3,0),"")</f>
        <v/>
      </c>
      <c r="K317" s="31" t="str">
        <f>IFERROR(VLOOKUP(MUESTREO_LABORAL_A2[[#This Row],[ACTIVIDAD]],'Lista Maestra'!$D$6:$F$190,2,0),"")</f>
        <v/>
      </c>
      <c r="L317" s="8"/>
      <c r="M317" s="8"/>
      <c r="N317" s="10"/>
      <c r="O317" s="10"/>
      <c r="P317" s="7" t="str">
        <f>IF(MUESTREO_LABORAL_A2[[#This Row],[TIEMPO INICIO]]="","",(MUESTREO_LABORAL_A2[[#This Row],[TIEMPO FIN]]-MUESTREO_LABORAL_A2[[#This Row],[TIEMPO INICIO]])*24)</f>
        <v/>
      </c>
      <c r="Q317" s="12"/>
      <c r="R317" s="12"/>
    </row>
    <row r="318" spans="4:18" x14ac:dyDescent="0.3">
      <c r="D318" s="8"/>
      <c r="E318" s="8"/>
      <c r="F318" s="9"/>
      <c r="G318" s="9"/>
      <c r="H318" s="8"/>
      <c r="I318" s="8"/>
      <c r="J318" s="31" t="str">
        <f>IFERROR(VLOOKUP(MUESTREO_LABORAL_A2[[#This Row],[ACTIVIDAD]],'Lista Maestra'!$D$6:$F$190,3,0),"")</f>
        <v/>
      </c>
      <c r="K318" s="31" t="str">
        <f>IFERROR(VLOOKUP(MUESTREO_LABORAL_A2[[#This Row],[ACTIVIDAD]],'Lista Maestra'!$D$6:$F$190,2,0),"")</f>
        <v/>
      </c>
      <c r="L318" s="8"/>
      <c r="M318" s="8"/>
      <c r="N318" s="10"/>
      <c r="O318" s="10"/>
      <c r="P318" s="7" t="str">
        <f>IF(MUESTREO_LABORAL_A2[[#This Row],[TIEMPO INICIO]]="","",(MUESTREO_LABORAL_A2[[#This Row],[TIEMPO FIN]]-MUESTREO_LABORAL_A2[[#This Row],[TIEMPO INICIO]])*24)</f>
        <v/>
      </c>
      <c r="Q318" s="12"/>
      <c r="R318" s="12"/>
    </row>
    <row r="319" spans="4:18" x14ac:dyDescent="0.3">
      <c r="D319" s="8"/>
      <c r="E319" s="8"/>
      <c r="F319" s="9"/>
      <c r="G319" s="9"/>
      <c r="H319" s="8"/>
      <c r="I319" s="8"/>
      <c r="J319" s="31" t="str">
        <f>IFERROR(VLOOKUP(MUESTREO_LABORAL_A2[[#This Row],[ACTIVIDAD]],'Lista Maestra'!$D$6:$F$190,3,0),"")</f>
        <v/>
      </c>
      <c r="K319" s="31" t="str">
        <f>IFERROR(VLOOKUP(MUESTREO_LABORAL_A2[[#This Row],[ACTIVIDAD]],'Lista Maestra'!$D$6:$F$190,2,0),"")</f>
        <v/>
      </c>
      <c r="L319" s="8"/>
      <c r="M319" s="8"/>
      <c r="N319" s="10"/>
      <c r="O319" s="10"/>
      <c r="P319" s="7" t="str">
        <f>IF(MUESTREO_LABORAL_A2[[#This Row],[TIEMPO INICIO]]="","",(MUESTREO_LABORAL_A2[[#This Row],[TIEMPO FIN]]-MUESTREO_LABORAL_A2[[#This Row],[TIEMPO INICIO]])*24)</f>
        <v/>
      </c>
      <c r="Q319" s="12"/>
      <c r="R319" s="12"/>
    </row>
    <row r="320" spans="4:18" x14ac:dyDescent="0.3">
      <c r="D320" s="8"/>
      <c r="E320" s="8"/>
      <c r="F320" s="9"/>
      <c r="G320" s="9"/>
      <c r="H320" s="8"/>
      <c r="I320" s="8"/>
      <c r="J320" s="31" t="str">
        <f>IFERROR(VLOOKUP(MUESTREO_LABORAL_A2[[#This Row],[ACTIVIDAD]],'Lista Maestra'!$D$6:$F$190,3,0),"")</f>
        <v/>
      </c>
      <c r="K320" s="31" t="str">
        <f>IFERROR(VLOOKUP(MUESTREO_LABORAL_A2[[#This Row],[ACTIVIDAD]],'Lista Maestra'!$D$6:$F$190,2,0),"")</f>
        <v/>
      </c>
      <c r="L320" s="8"/>
      <c r="M320" s="8"/>
      <c r="N320" s="10"/>
      <c r="O320" s="10"/>
      <c r="P320" s="7" t="str">
        <f>IF(MUESTREO_LABORAL_A2[[#This Row],[TIEMPO INICIO]]="","",(MUESTREO_LABORAL_A2[[#This Row],[TIEMPO FIN]]-MUESTREO_LABORAL_A2[[#This Row],[TIEMPO INICIO]])*24)</f>
        <v/>
      </c>
      <c r="Q320" s="12"/>
      <c r="R320" s="12"/>
    </row>
    <row r="321" spans="4:18" x14ac:dyDescent="0.3">
      <c r="D321" s="8"/>
      <c r="E321" s="8"/>
      <c r="F321" s="9"/>
      <c r="G321" s="9"/>
      <c r="H321" s="8"/>
      <c r="I321" s="8"/>
      <c r="J321" s="31" t="str">
        <f>IFERROR(VLOOKUP(MUESTREO_LABORAL_A2[[#This Row],[ACTIVIDAD]],'Lista Maestra'!$D$6:$F$190,3,0),"")</f>
        <v/>
      </c>
      <c r="K321" s="31" t="str">
        <f>IFERROR(VLOOKUP(MUESTREO_LABORAL_A2[[#This Row],[ACTIVIDAD]],'Lista Maestra'!$D$6:$F$190,2,0),"")</f>
        <v/>
      </c>
      <c r="L321" s="8"/>
      <c r="M321" s="8"/>
      <c r="N321" s="10"/>
      <c r="O321" s="10"/>
      <c r="P321" s="7" t="str">
        <f>IF(MUESTREO_LABORAL_A2[[#This Row],[TIEMPO INICIO]]="","",(MUESTREO_LABORAL_A2[[#This Row],[TIEMPO FIN]]-MUESTREO_LABORAL_A2[[#This Row],[TIEMPO INICIO]])*24)</f>
        <v/>
      </c>
      <c r="Q321" s="12"/>
      <c r="R321" s="12"/>
    </row>
    <row r="322" spans="4:18" x14ac:dyDescent="0.3">
      <c r="D322" s="8"/>
      <c r="E322" s="8"/>
      <c r="F322" s="9"/>
      <c r="G322" s="9"/>
      <c r="H322" s="8"/>
      <c r="I322" s="8"/>
      <c r="J322" s="31" t="str">
        <f>IFERROR(VLOOKUP(MUESTREO_LABORAL_A2[[#This Row],[ACTIVIDAD]],'Lista Maestra'!$D$6:$F$190,3,0),"")</f>
        <v/>
      </c>
      <c r="K322" s="31" t="str">
        <f>IFERROR(VLOOKUP(MUESTREO_LABORAL_A2[[#This Row],[ACTIVIDAD]],'Lista Maestra'!$D$6:$F$190,2,0),"")</f>
        <v/>
      </c>
      <c r="L322" s="8"/>
      <c r="M322" s="8"/>
      <c r="N322" s="10"/>
      <c r="O322" s="10"/>
      <c r="P322" s="7" t="str">
        <f>IF(MUESTREO_LABORAL_A2[[#This Row],[TIEMPO INICIO]]="","",(MUESTREO_LABORAL_A2[[#This Row],[TIEMPO FIN]]-MUESTREO_LABORAL_A2[[#This Row],[TIEMPO INICIO]])*24)</f>
        <v/>
      </c>
      <c r="Q322" s="12"/>
      <c r="R322" s="12"/>
    </row>
    <row r="323" spans="4:18" x14ac:dyDescent="0.3">
      <c r="D323" s="8"/>
      <c r="E323" s="8"/>
      <c r="F323" s="9"/>
      <c r="G323" s="9"/>
      <c r="H323" s="8"/>
      <c r="I323" s="8"/>
      <c r="J323" s="31" t="str">
        <f>IFERROR(VLOOKUP(MUESTREO_LABORAL_A2[[#This Row],[ACTIVIDAD]],'Lista Maestra'!$D$6:$F$190,3,0),"")</f>
        <v/>
      </c>
      <c r="K323" s="31" t="str">
        <f>IFERROR(VLOOKUP(MUESTREO_LABORAL_A2[[#This Row],[ACTIVIDAD]],'Lista Maestra'!$D$6:$F$190,2,0),"")</f>
        <v/>
      </c>
      <c r="L323" s="8"/>
      <c r="M323" s="8"/>
      <c r="N323" s="10"/>
      <c r="O323" s="10"/>
      <c r="P323" s="7" t="str">
        <f>IF(MUESTREO_LABORAL_A2[[#This Row],[TIEMPO INICIO]]="","",(MUESTREO_LABORAL_A2[[#This Row],[TIEMPO FIN]]-MUESTREO_LABORAL_A2[[#This Row],[TIEMPO INICIO]])*24)</f>
        <v/>
      </c>
      <c r="Q323" s="12"/>
      <c r="R323" s="12"/>
    </row>
    <row r="324" spans="4:18" x14ac:dyDescent="0.3">
      <c r="D324" s="8"/>
      <c r="E324" s="8"/>
      <c r="F324" s="9"/>
      <c r="G324" s="9"/>
      <c r="H324" s="8"/>
      <c r="I324" s="8"/>
      <c r="J324" s="31" t="str">
        <f>IFERROR(VLOOKUP(MUESTREO_LABORAL_A2[[#This Row],[ACTIVIDAD]],'Lista Maestra'!$D$6:$F$190,3,0),"")</f>
        <v/>
      </c>
      <c r="K324" s="31" t="str">
        <f>IFERROR(VLOOKUP(MUESTREO_LABORAL_A2[[#This Row],[ACTIVIDAD]],'Lista Maestra'!$D$6:$F$190,2,0),"")</f>
        <v/>
      </c>
      <c r="L324" s="8"/>
      <c r="M324" s="8"/>
      <c r="N324" s="10"/>
      <c r="O324" s="10"/>
      <c r="P324" s="7" t="str">
        <f>IF(MUESTREO_LABORAL_A2[[#This Row],[TIEMPO INICIO]]="","",(MUESTREO_LABORAL_A2[[#This Row],[TIEMPO FIN]]-MUESTREO_LABORAL_A2[[#This Row],[TIEMPO INICIO]])*24)</f>
        <v/>
      </c>
      <c r="Q324" s="12"/>
      <c r="R324" s="12"/>
    </row>
    <row r="325" spans="4:18" x14ac:dyDescent="0.3">
      <c r="D325" s="8"/>
      <c r="E325" s="8"/>
      <c r="F325" s="9"/>
      <c r="G325" s="9"/>
      <c r="H325" s="8"/>
      <c r="I325" s="8"/>
      <c r="J325" s="31" t="str">
        <f>IFERROR(VLOOKUP(MUESTREO_LABORAL_A2[[#This Row],[ACTIVIDAD]],'Lista Maestra'!$D$6:$F$190,3,0),"")</f>
        <v/>
      </c>
      <c r="K325" s="31" t="str">
        <f>IFERROR(VLOOKUP(MUESTREO_LABORAL_A2[[#This Row],[ACTIVIDAD]],'Lista Maestra'!$D$6:$F$190,2,0),"")</f>
        <v/>
      </c>
      <c r="L325" s="8"/>
      <c r="M325" s="8"/>
      <c r="N325" s="10"/>
      <c r="O325" s="10"/>
      <c r="P325" s="7" t="str">
        <f>IF(MUESTREO_LABORAL_A2[[#This Row],[TIEMPO INICIO]]="","",(MUESTREO_LABORAL_A2[[#This Row],[TIEMPO FIN]]-MUESTREO_LABORAL_A2[[#This Row],[TIEMPO INICIO]])*24)</f>
        <v/>
      </c>
      <c r="Q325" s="12"/>
      <c r="R325" s="12"/>
    </row>
    <row r="326" spans="4:18" x14ac:dyDescent="0.3">
      <c r="D326" s="8"/>
      <c r="E326" s="8"/>
      <c r="F326" s="9"/>
      <c r="G326" s="9"/>
      <c r="H326" s="8"/>
      <c r="I326" s="8"/>
      <c r="J326" s="31" t="str">
        <f>IFERROR(VLOOKUP(MUESTREO_LABORAL_A2[[#This Row],[ACTIVIDAD]],'Lista Maestra'!$D$6:$F$190,3,0),"")</f>
        <v/>
      </c>
      <c r="K326" s="31" t="str">
        <f>IFERROR(VLOOKUP(MUESTREO_LABORAL_A2[[#This Row],[ACTIVIDAD]],'Lista Maestra'!$D$6:$F$190,2,0),"")</f>
        <v/>
      </c>
      <c r="L326" s="8"/>
      <c r="M326" s="8"/>
      <c r="N326" s="10"/>
      <c r="O326" s="10"/>
      <c r="P326" s="7" t="str">
        <f>IF(MUESTREO_LABORAL_A2[[#This Row],[TIEMPO INICIO]]="","",(MUESTREO_LABORAL_A2[[#This Row],[TIEMPO FIN]]-MUESTREO_LABORAL_A2[[#This Row],[TIEMPO INICIO]])*24)</f>
        <v/>
      </c>
      <c r="Q326" s="12"/>
      <c r="R326" s="12"/>
    </row>
    <row r="327" spans="4:18" x14ac:dyDescent="0.3">
      <c r="D327" s="8"/>
      <c r="E327" s="8"/>
      <c r="F327" s="9"/>
      <c r="G327" s="9"/>
      <c r="H327" s="8"/>
      <c r="I327" s="8"/>
      <c r="J327" s="31" t="str">
        <f>IFERROR(VLOOKUP(MUESTREO_LABORAL_A2[[#This Row],[ACTIVIDAD]],'Lista Maestra'!$D$6:$F$190,3,0),"")</f>
        <v/>
      </c>
      <c r="K327" s="31" t="str">
        <f>IFERROR(VLOOKUP(MUESTREO_LABORAL_A2[[#This Row],[ACTIVIDAD]],'Lista Maestra'!$D$6:$F$190,2,0),"")</f>
        <v/>
      </c>
      <c r="L327" s="8"/>
      <c r="M327" s="8"/>
      <c r="N327" s="10"/>
      <c r="O327" s="10"/>
      <c r="P327" s="7" t="str">
        <f>IF(MUESTREO_LABORAL_A2[[#This Row],[TIEMPO INICIO]]="","",(MUESTREO_LABORAL_A2[[#This Row],[TIEMPO FIN]]-MUESTREO_LABORAL_A2[[#This Row],[TIEMPO INICIO]])*24)</f>
        <v/>
      </c>
      <c r="Q327" s="12"/>
      <c r="R327" s="12"/>
    </row>
    <row r="328" spans="4:18" x14ac:dyDescent="0.3">
      <c r="D328" s="8"/>
      <c r="E328" s="8"/>
      <c r="F328" s="9"/>
      <c r="G328" s="9"/>
      <c r="H328" s="8"/>
      <c r="I328" s="8"/>
      <c r="J328" s="31" t="str">
        <f>IFERROR(VLOOKUP(MUESTREO_LABORAL_A2[[#This Row],[ACTIVIDAD]],'Lista Maestra'!$D$6:$F$190,3,0),"")</f>
        <v/>
      </c>
      <c r="K328" s="31" t="str">
        <f>IFERROR(VLOOKUP(MUESTREO_LABORAL_A2[[#This Row],[ACTIVIDAD]],'Lista Maestra'!$D$6:$F$190,2,0),"")</f>
        <v/>
      </c>
      <c r="L328" s="8"/>
      <c r="M328" s="8"/>
      <c r="N328" s="10"/>
      <c r="O328" s="10"/>
      <c r="P328" s="7" t="str">
        <f>IF(MUESTREO_LABORAL_A2[[#This Row],[TIEMPO INICIO]]="","",(MUESTREO_LABORAL_A2[[#This Row],[TIEMPO FIN]]-MUESTREO_LABORAL_A2[[#This Row],[TIEMPO INICIO]])*24)</f>
        <v/>
      </c>
      <c r="Q328" s="12"/>
      <c r="R328" s="12"/>
    </row>
  </sheetData>
  <conditionalFormatting sqref="L4:M328">
    <cfRule type="cellIs" dxfId="3" priority="1" operator="equal">
      <formula>"SIN ACTIVIDAD"</formula>
    </cfRule>
    <cfRule type="cellIs" dxfId="2" priority="2" operator="equal">
      <formula>"ENC"</formula>
    </cfRule>
  </conditionalFormatting>
  <conditionalFormatting sqref="M4:M11 M14:M328">
    <cfRule type="expression" dxfId="1" priority="12">
      <formula>$L4="ENC"</formula>
    </cfRule>
  </conditionalFormatting>
  <conditionalFormatting sqref="M12:M13">
    <cfRule type="expression" dxfId="0" priority="11">
      <formula>#REF!="ENC"</formula>
    </cfRule>
  </conditionalFormatting>
  <pageMargins left="0.7" right="0.7" top="0.75" bottom="0.75" header="0.3" footer="0.3"/>
  <pageSetup orientation="portrait"/>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5:I10"/>
  <sheetViews>
    <sheetView workbookViewId="0">
      <selection activeCell="G12" sqref="G12"/>
    </sheetView>
  </sheetViews>
  <sheetFormatPr baseColWidth="10" defaultColWidth="11.44140625" defaultRowHeight="14.4" x14ac:dyDescent="0.3"/>
  <cols>
    <col min="5" max="5" width="30.6640625" style="8" customWidth="1"/>
    <col min="6" max="6" width="35.109375" style="8" bestFit="1" customWidth="1"/>
    <col min="7" max="9" width="30.6640625" style="8" customWidth="1"/>
  </cols>
  <sheetData>
    <row r="5" spans="4:9" x14ac:dyDescent="0.3">
      <c r="D5" s="37" t="s">
        <v>222</v>
      </c>
      <c r="E5" s="37" t="s">
        <v>223</v>
      </c>
      <c r="F5" s="37" t="s">
        <v>224</v>
      </c>
      <c r="G5" s="37" t="s">
        <v>8</v>
      </c>
      <c r="H5" s="37" t="s">
        <v>225</v>
      </c>
      <c r="I5" s="37" t="s">
        <v>226</v>
      </c>
    </row>
    <row r="6" spans="4:9" ht="57.6" customHeight="1" x14ac:dyDescent="0.3">
      <c r="D6" s="24" t="s">
        <v>227</v>
      </c>
      <c r="E6" s="29" t="s">
        <v>228</v>
      </c>
      <c r="F6" s="29" t="s">
        <v>229</v>
      </c>
      <c r="G6" s="45" t="s">
        <v>230</v>
      </c>
      <c r="H6" s="45" t="s">
        <v>231</v>
      </c>
      <c r="I6" s="45" t="s">
        <v>232</v>
      </c>
    </row>
    <row r="7" spans="4:9" x14ac:dyDescent="0.3">
      <c r="D7" s="24" t="s">
        <v>227</v>
      </c>
      <c r="E7" s="29" t="s">
        <v>233</v>
      </c>
      <c r="F7" s="29" t="s">
        <v>234</v>
      </c>
      <c r="G7" s="46"/>
      <c r="H7" s="46"/>
      <c r="I7" s="46"/>
    </row>
    <row r="8" spans="4:9" x14ac:dyDescent="0.3">
      <c r="D8" s="24"/>
      <c r="E8" s="29" t="s">
        <v>235</v>
      </c>
      <c r="F8" s="29" t="s">
        <v>236</v>
      </c>
      <c r="G8" s="46"/>
      <c r="H8" s="46"/>
      <c r="I8" s="46"/>
    </row>
    <row r="9" spans="4:9" x14ac:dyDescent="0.3">
      <c r="D9" s="24"/>
      <c r="E9" s="29" t="s">
        <v>237</v>
      </c>
      <c r="F9" s="29" t="s">
        <v>238</v>
      </c>
      <c r="G9" s="46"/>
      <c r="H9" s="46"/>
      <c r="I9" s="46"/>
    </row>
    <row r="10" spans="4:9" ht="28.95" customHeight="1" x14ac:dyDescent="0.3">
      <c r="D10" s="24"/>
      <c r="E10" s="29" t="s">
        <v>106</v>
      </c>
      <c r="F10" s="29" t="s">
        <v>239</v>
      </c>
      <c r="G10" s="47"/>
      <c r="H10" s="47"/>
      <c r="I10" s="47"/>
    </row>
  </sheetData>
  <mergeCells count="3">
    <mergeCell ref="H6:H10"/>
    <mergeCell ref="G6:G10"/>
    <mergeCell ref="I6:I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K329"/>
  <sheetViews>
    <sheetView showGridLines="0" tabSelected="1" topLeftCell="C200" zoomScale="120" zoomScaleNormal="120" workbookViewId="0">
      <selection activeCell="D191" sqref="D191"/>
    </sheetView>
  </sheetViews>
  <sheetFormatPr baseColWidth="10" defaultColWidth="11.44140625" defaultRowHeight="14.4" x14ac:dyDescent="0.3"/>
  <cols>
    <col min="3" max="3" width="28.5546875" style="8" bestFit="1" customWidth="1"/>
    <col min="4" max="6" width="38.33203125" style="14" customWidth="1"/>
    <col min="7" max="7" width="33.44140625" style="14" bestFit="1" customWidth="1"/>
    <col min="8" max="8" width="97.33203125" style="14" customWidth="1"/>
    <col min="9" max="9" width="54.33203125" style="15" bestFit="1" customWidth="1"/>
    <col min="10" max="10" width="36.5546875" bestFit="1" customWidth="1"/>
    <col min="11" max="11" width="40.33203125" bestFit="1" customWidth="1"/>
    <col min="12" max="12" width="21.88671875" bestFit="1" customWidth="1"/>
    <col min="13" max="13" width="20.33203125" bestFit="1" customWidth="1"/>
  </cols>
  <sheetData>
    <row r="1" spans="3:11" ht="34.200000000000003" customHeight="1" x14ac:dyDescent="0.3"/>
    <row r="2" spans="3:11" ht="34.200000000000003" customHeight="1" x14ac:dyDescent="0.3"/>
    <row r="3" spans="3:11" ht="34.200000000000003" customHeight="1" x14ac:dyDescent="0.3"/>
    <row r="4" spans="3:11" s="2" customFormat="1" x14ac:dyDescent="0.3">
      <c r="C4" s="8"/>
      <c r="D4" s="14"/>
      <c r="E4" s="14"/>
      <c r="F4" s="14"/>
      <c r="G4" s="14"/>
      <c r="H4" s="14"/>
      <c r="I4" s="13"/>
      <c r="K4" s="10"/>
    </row>
    <row r="5" spans="3:11" s="2" customFormat="1" ht="21" customHeight="1" x14ac:dyDescent="0.3">
      <c r="C5" s="28" t="s">
        <v>0</v>
      </c>
      <c r="D5" s="28" t="s">
        <v>7</v>
      </c>
      <c r="E5" s="28" t="s">
        <v>9</v>
      </c>
      <c r="F5" s="28" t="s">
        <v>8</v>
      </c>
      <c r="G5" s="21" t="s">
        <v>10</v>
      </c>
      <c r="H5" s="21" t="s">
        <v>240</v>
      </c>
      <c r="I5" s="13"/>
    </row>
    <row r="6" spans="3:11" s="2" customFormat="1" ht="86.4" customHeight="1" x14ac:dyDescent="0.3">
      <c r="C6" s="29" t="s">
        <v>17</v>
      </c>
      <c r="D6" s="27" t="s">
        <v>24</v>
      </c>
      <c r="E6" s="26" t="s">
        <v>241</v>
      </c>
      <c r="F6" s="27" t="s">
        <v>242</v>
      </c>
      <c r="G6" s="27" t="s">
        <v>243</v>
      </c>
      <c r="H6" s="27" t="s">
        <v>244</v>
      </c>
      <c r="I6" s="13"/>
    </row>
    <row r="7" spans="3:11" s="2" customFormat="1" ht="100.95" customHeight="1" x14ac:dyDescent="0.3">
      <c r="C7" s="29" t="s">
        <v>17</v>
      </c>
      <c r="D7" s="27" t="s">
        <v>52</v>
      </c>
      <c r="E7" s="26" t="s">
        <v>245</v>
      </c>
      <c r="F7" s="27" t="s">
        <v>242</v>
      </c>
      <c r="G7" s="30" t="s">
        <v>30</v>
      </c>
      <c r="H7" s="27" t="s">
        <v>246</v>
      </c>
      <c r="I7" s="13"/>
    </row>
    <row r="8" spans="3:11" s="2" customFormat="1" ht="100.95" customHeight="1" x14ac:dyDescent="0.3">
      <c r="C8" s="29" t="s">
        <v>17</v>
      </c>
      <c r="D8" s="27" t="s">
        <v>21</v>
      </c>
      <c r="E8" s="27" t="s">
        <v>247</v>
      </c>
      <c r="F8" s="27" t="s">
        <v>248</v>
      </c>
      <c r="G8" s="27" t="s">
        <v>27</v>
      </c>
      <c r="H8" s="27" t="s">
        <v>249</v>
      </c>
      <c r="I8" s="13"/>
    </row>
    <row r="9" spans="3:11" s="2" customFormat="1" ht="86.4" customHeight="1" x14ac:dyDescent="0.3">
      <c r="C9" s="29" t="s">
        <v>17</v>
      </c>
      <c r="D9" s="27" t="s">
        <v>250</v>
      </c>
      <c r="E9" s="27" t="s">
        <v>251</v>
      </c>
      <c r="F9" s="27" t="s">
        <v>252</v>
      </c>
      <c r="G9" s="27" t="s">
        <v>253</v>
      </c>
      <c r="H9" s="27" t="s">
        <v>254</v>
      </c>
      <c r="I9" s="13"/>
    </row>
    <row r="10" spans="3:11" s="2" customFormat="1" ht="100.95" customHeight="1" x14ac:dyDescent="0.3">
      <c r="C10" s="29" t="s">
        <v>17</v>
      </c>
      <c r="D10" s="27" t="s">
        <v>60</v>
      </c>
      <c r="E10" s="27" t="s">
        <v>255</v>
      </c>
      <c r="F10" s="27" t="s">
        <v>242</v>
      </c>
      <c r="G10" s="27" t="s">
        <v>256</v>
      </c>
      <c r="H10" s="27" t="s">
        <v>257</v>
      </c>
      <c r="I10" s="13"/>
    </row>
    <row r="11" spans="3:11" s="2" customFormat="1" ht="100.95" customHeight="1" x14ac:dyDescent="0.3">
      <c r="C11" s="29" t="s">
        <v>17</v>
      </c>
      <c r="D11" s="27" t="s">
        <v>55</v>
      </c>
      <c r="E11" s="27" t="s">
        <v>258</v>
      </c>
      <c r="F11" s="27" t="s">
        <v>259</v>
      </c>
      <c r="G11" s="27" t="s">
        <v>22</v>
      </c>
      <c r="H11" s="27" t="s">
        <v>260</v>
      </c>
      <c r="I11" s="13"/>
    </row>
    <row r="12" spans="3:11" s="2" customFormat="1" ht="158.4" customHeight="1" x14ac:dyDescent="0.3">
      <c r="C12" s="29" t="s">
        <v>17</v>
      </c>
      <c r="D12" s="27" t="s">
        <v>261</v>
      </c>
      <c r="E12" s="27" t="s">
        <v>262</v>
      </c>
      <c r="F12" s="27" t="s">
        <v>263</v>
      </c>
      <c r="G12" s="27" t="s">
        <v>35</v>
      </c>
      <c r="H12" s="27" t="s">
        <v>264</v>
      </c>
      <c r="I12" s="13"/>
    </row>
    <row r="13" spans="3:11" s="2" customFormat="1" ht="100.95" customHeight="1" x14ac:dyDescent="0.3">
      <c r="C13" s="29" t="s">
        <v>17</v>
      </c>
      <c r="D13" s="27" t="s">
        <v>48</v>
      </c>
      <c r="E13" s="27" t="s">
        <v>265</v>
      </c>
      <c r="F13" s="27" t="s">
        <v>266</v>
      </c>
      <c r="G13" s="27" t="s">
        <v>33</v>
      </c>
      <c r="H13" s="27" t="s">
        <v>267</v>
      </c>
      <c r="I13" s="13"/>
    </row>
    <row r="14" spans="3:11" s="2" customFormat="1" ht="57.6" customHeight="1" x14ac:dyDescent="0.3">
      <c r="C14" s="29" t="s">
        <v>17</v>
      </c>
      <c r="D14" s="27" t="s">
        <v>268</v>
      </c>
      <c r="E14" s="27" t="s">
        <v>269</v>
      </c>
      <c r="F14" s="27" t="s">
        <v>270</v>
      </c>
      <c r="G14" s="27" t="s">
        <v>26</v>
      </c>
      <c r="H14" s="27"/>
      <c r="I14" s="13"/>
    </row>
    <row r="15" spans="3:11" s="2" customFormat="1" ht="100.95" customHeight="1" x14ac:dyDescent="0.3">
      <c r="C15" s="29" t="s">
        <v>17</v>
      </c>
      <c r="D15" s="27" t="s">
        <v>271</v>
      </c>
      <c r="E15" s="27" t="s">
        <v>272</v>
      </c>
      <c r="F15" s="27" t="s">
        <v>273</v>
      </c>
      <c r="G15" s="14"/>
      <c r="H15" s="14"/>
      <c r="I15" s="13"/>
    </row>
    <row r="16" spans="3:11" s="2" customFormat="1" ht="43.2" customHeight="1" x14ac:dyDescent="0.3">
      <c r="C16" s="29" t="s">
        <v>17</v>
      </c>
      <c r="D16" s="27" t="s">
        <v>57</v>
      </c>
      <c r="E16" s="27" t="s">
        <v>274</v>
      </c>
      <c r="F16" s="27" t="s">
        <v>275</v>
      </c>
      <c r="G16" s="14"/>
      <c r="H16" s="14"/>
      <c r="I16" s="13"/>
    </row>
    <row r="17" spans="3:9" s="2" customFormat="1" ht="100.95" customHeight="1" x14ac:dyDescent="0.3">
      <c r="C17" s="29" t="s">
        <v>17</v>
      </c>
      <c r="D17" s="27" t="s">
        <v>54</v>
      </c>
      <c r="E17" s="27" t="s">
        <v>276</v>
      </c>
      <c r="F17" s="27" t="s">
        <v>277</v>
      </c>
      <c r="G17" s="14"/>
      <c r="H17" s="14"/>
      <c r="I17" s="13"/>
    </row>
    <row r="18" spans="3:9" s="2" customFormat="1" ht="57.6" customHeight="1" x14ac:dyDescent="0.3">
      <c r="C18" s="29" t="s">
        <v>17</v>
      </c>
      <c r="D18" s="27" t="s">
        <v>56</v>
      </c>
      <c r="E18" s="27" t="s">
        <v>278</v>
      </c>
      <c r="F18" s="27" t="s">
        <v>279</v>
      </c>
      <c r="G18" s="14"/>
      <c r="H18" s="14"/>
      <c r="I18" s="13"/>
    </row>
    <row r="19" spans="3:9" s="2" customFormat="1" ht="72" customHeight="1" x14ac:dyDescent="0.3">
      <c r="C19" s="29" t="s">
        <v>17</v>
      </c>
      <c r="D19" s="27" t="s">
        <v>280</v>
      </c>
      <c r="E19" s="27" t="s">
        <v>281</v>
      </c>
      <c r="F19" s="27" t="s">
        <v>282</v>
      </c>
      <c r="G19" s="14"/>
      <c r="H19" s="14"/>
      <c r="I19" s="13"/>
    </row>
    <row r="20" spans="3:9" s="2" customFormat="1" ht="115.2" customHeight="1" x14ac:dyDescent="0.3">
      <c r="C20" s="29" t="s">
        <v>17</v>
      </c>
      <c r="D20" s="27" t="s">
        <v>63</v>
      </c>
      <c r="E20" s="27" t="s">
        <v>283</v>
      </c>
      <c r="F20" s="27" t="s">
        <v>270</v>
      </c>
      <c r="G20" s="14"/>
      <c r="H20" s="14"/>
      <c r="I20" s="13"/>
    </row>
    <row r="21" spans="3:9" s="2" customFormat="1" ht="129.6" customHeight="1" x14ac:dyDescent="0.3">
      <c r="C21" s="29" t="s">
        <v>17</v>
      </c>
      <c r="D21" s="27" t="s">
        <v>61</v>
      </c>
      <c r="E21" s="27" t="s">
        <v>284</v>
      </c>
      <c r="F21" s="27" t="s">
        <v>285</v>
      </c>
      <c r="G21" s="14"/>
      <c r="H21" s="14"/>
      <c r="I21" s="13"/>
    </row>
    <row r="22" spans="3:9" s="2" customFormat="1" ht="86.4" customHeight="1" x14ac:dyDescent="0.3">
      <c r="C22" s="29" t="s">
        <v>17</v>
      </c>
      <c r="D22" s="27" t="s">
        <v>286</v>
      </c>
      <c r="E22" s="27" t="s">
        <v>287</v>
      </c>
      <c r="F22" s="27" t="s">
        <v>288</v>
      </c>
      <c r="G22" s="14"/>
      <c r="H22" s="14"/>
      <c r="I22" s="13"/>
    </row>
    <row r="23" spans="3:9" s="2" customFormat="1" ht="115.2" customHeight="1" x14ac:dyDescent="0.3">
      <c r="C23" s="29" t="s">
        <v>17</v>
      </c>
      <c r="D23" s="27" t="s">
        <v>289</v>
      </c>
      <c r="E23" s="27" t="s">
        <v>290</v>
      </c>
      <c r="F23" s="27" t="s">
        <v>291</v>
      </c>
      <c r="G23" s="14"/>
      <c r="H23" s="14"/>
      <c r="I23" s="13"/>
    </row>
    <row r="24" spans="3:9" s="2" customFormat="1" ht="57.6" customHeight="1" x14ac:dyDescent="0.3">
      <c r="C24" s="29" t="s">
        <v>17</v>
      </c>
      <c r="D24" s="27" t="s">
        <v>58</v>
      </c>
      <c r="E24" s="27" t="s">
        <v>292</v>
      </c>
      <c r="F24" s="27" t="s">
        <v>293</v>
      </c>
      <c r="G24" s="14"/>
      <c r="H24" s="14"/>
      <c r="I24" s="13"/>
    </row>
    <row r="25" spans="3:9" s="2" customFormat="1" ht="129.6" customHeight="1" x14ac:dyDescent="0.3">
      <c r="C25" s="29" t="s">
        <v>17</v>
      </c>
      <c r="D25" s="27" t="s">
        <v>294</v>
      </c>
      <c r="E25" s="27" t="s">
        <v>295</v>
      </c>
      <c r="F25" s="27" t="s">
        <v>270</v>
      </c>
      <c r="G25" s="14"/>
      <c r="H25" s="14"/>
      <c r="I25" s="13"/>
    </row>
    <row r="26" spans="3:9" s="2" customFormat="1" ht="144" customHeight="1" x14ac:dyDescent="0.3">
      <c r="C26" s="29" t="s">
        <v>17</v>
      </c>
      <c r="D26" s="27" t="s">
        <v>40</v>
      </c>
      <c r="E26" s="27" t="s">
        <v>296</v>
      </c>
      <c r="F26" s="27" t="s">
        <v>291</v>
      </c>
      <c r="G26" s="14"/>
      <c r="H26" s="14"/>
      <c r="I26" s="13"/>
    </row>
    <row r="27" spans="3:9" s="2" customFormat="1" ht="115.2" customHeight="1" x14ac:dyDescent="0.3">
      <c r="C27" s="29" t="s">
        <v>17</v>
      </c>
      <c r="D27" s="27" t="s">
        <v>297</v>
      </c>
      <c r="E27" s="27" t="s">
        <v>298</v>
      </c>
      <c r="F27" s="27" t="s">
        <v>277</v>
      </c>
      <c r="G27" s="14"/>
      <c r="H27" s="14"/>
      <c r="I27" s="13"/>
    </row>
    <row r="28" spans="3:9" s="2" customFormat="1" ht="86.4" customHeight="1" x14ac:dyDescent="0.3">
      <c r="C28" s="29" t="s">
        <v>17</v>
      </c>
      <c r="D28" s="27" t="s">
        <v>50</v>
      </c>
      <c r="E28" s="27" t="s">
        <v>299</v>
      </c>
      <c r="F28" s="27" t="s">
        <v>270</v>
      </c>
      <c r="G28" s="14"/>
      <c r="H28" s="14"/>
      <c r="I28" s="13"/>
    </row>
    <row r="29" spans="3:9" s="2" customFormat="1" ht="144" customHeight="1" x14ac:dyDescent="0.3">
      <c r="C29" s="29" t="s">
        <v>17</v>
      </c>
      <c r="D29" s="27" t="s">
        <v>300</v>
      </c>
      <c r="E29" s="27" t="s">
        <v>301</v>
      </c>
      <c r="F29" s="27" t="s">
        <v>291</v>
      </c>
      <c r="G29" s="14"/>
      <c r="H29" s="14"/>
      <c r="I29" s="13"/>
    </row>
    <row r="30" spans="3:9" s="2" customFormat="1" ht="57.6" customHeight="1" x14ac:dyDescent="0.3">
      <c r="C30" s="29" t="s">
        <v>17</v>
      </c>
      <c r="D30" s="27" t="s">
        <v>302</v>
      </c>
      <c r="E30" s="27" t="s">
        <v>303</v>
      </c>
      <c r="F30" s="27" t="s">
        <v>270</v>
      </c>
      <c r="G30" s="14"/>
      <c r="H30" s="14"/>
      <c r="I30" s="13"/>
    </row>
    <row r="31" spans="3:9" s="2" customFormat="1" ht="115.2" customHeight="1" x14ac:dyDescent="0.3">
      <c r="C31" s="29" t="s">
        <v>17</v>
      </c>
      <c r="D31" s="27" t="s">
        <v>304</v>
      </c>
      <c r="E31" s="27" t="s">
        <v>305</v>
      </c>
      <c r="F31" s="27" t="s">
        <v>306</v>
      </c>
      <c r="G31" s="14"/>
      <c r="H31" s="14"/>
      <c r="I31" s="13"/>
    </row>
    <row r="32" spans="3:9" s="2" customFormat="1" ht="72" customHeight="1" x14ac:dyDescent="0.3">
      <c r="C32" s="29" t="s">
        <v>17</v>
      </c>
      <c r="D32" s="27" t="s">
        <v>44</v>
      </c>
      <c r="E32" s="27" t="s">
        <v>307</v>
      </c>
      <c r="F32" s="27" t="s">
        <v>308</v>
      </c>
      <c r="G32" s="14"/>
      <c r="H32" s="14"/>
      <c r="I32" s="13"/>
    </row>
    <row r="33" spans="3:9" s="2" customFormat="1" ht="43.2" customHeight="1" x14ac:dyDescent="0.3">
      <c r="C33" s="29" t="s">
        <v>17</v>
      </c>
      <c r="D33" s="27" t="s">
        <v>309</v>
      </c>
      <c r="E33" s="27" t="s">
        <v>310</v>
      </c>
      <c r="F33" s="27" t="s">
        <v>288</v>
      </c>
      <c r="G33" s="14"/>
      <c r="H33" s="14"/>
      <c r="I33" s="13"/>
    </row>
    <row r="34" spans="3:9" s="2" customFormat="1" ht="86.4" customHeight="1" x14ac:dyDescent="0.3">
      <c r="C34" s="29" t="s">
        <v>17</v>
      </c>
      <c r="D34" s="27" t="s">
        <v>311</v>
      </c>
      <c r="E34" s="27" t="s">
        <v>312</v>
      </c>
      <c r="F34" s="27" t="s">
        <v>222</v>
      </c>
      <c r="G34" s="14"/>
      <c r="H34" s="14"/>
      <c r="I34" s="13"/>
    </row>
    <row r="35" spans="3:9" s="2" customFormat="1" x14ac:dyDescent="0.3">
      <c r="C35" s="29" t="s">
        <v>17</v>
      </c>
      <c r="D35" s="27" t="s">
        <v>29</v>
      </c>
      <c r="E35" s="27"/>
      <c r="F35" s="27" t="s">
        <v>313</v>
      </c>
      <c r="G35" s="14"/>
      <c r="H35" s="14"/>
      <c r="I35" s="13"/>
    </row>
    <row r="36" spans="3:9" s="2" customFormat="1" ht="28.95" customHeight="1" x14ac:dyDescent="0.3">
      <c r="C36" s="29" t="s">
        <v>17</v>
      </c>
      <c r="D36" s="27" t="s">
        <v>38</v>
      </c>
      <c r="E36" s="27"/>
      <c r="F36" s="27" t="s">
        <v>291</v>
      </c>
      <c r="G36" s="14"/>
      <c r="H36" s="14"/>
      <c r="I36" s="13"/>
    </row>
    <row r="37" spans="3:9" s="2" customFormat="1" x14ac:dyDescent="0.3">
      <c r="C37" s="29" t="s">
        <v>17</v>
      </c>
      <c r="D37" s="27" t="s">
        <v>26</v>
      </c>
      <c r="E37" s="27" t="s">
        <v>314</v>
      </c>
      <c r="F37" s="27" t="s">
        <v>26</v>
      </c>
      <c r="G37" s="14"/>
      <c r="H37" s="14"/>
      <c r="I37" s="13"/>
    </row>
    <row r="38" spans="3:9" s="2" customFormat="1" x14ac:dyDescent="0.3">
      <c r="C38" s="29" t="s">
        <v>17</v>
      </c>
      <c r="D38" s="27" t="s">
        <v>33</v>
      </c>
      <c r="E38" s="27" t="s">
        <v>315</v>
      </c>
      <c r="F38" s="27" t="s">
        <v>33</v>
      </c>
      <c r="G38" s="14"/>
      <c r="H38" s="14"/>
      <c r="I38" s="13"/>
    </row>
    <row r="39" spans="3:9" s="2" customFormat="1" ht="28.8" x14ac:dyDescent="0.3">
      <c r="C39" s="29" t="s">
        <v>17</v>
      </c>
      <c r="D39" s="27" t="s">
        <v>35</v>
      </c>
      <c r="E39" s="27" t="s">
        <v>635</v>
      </c>
      <c r="F39" s="27" t="s">
        <v>35</v>
      </c>
      <c r="G39" s="14"/>
      <c r="H39" s="14"/>
      <c r="I39" s="13"/>
    </row>
    <row r="40" spans="3:9" s="2" customFormat="1" x14ac:dyDescent="0.3">
      <c r="C40" s="29" t="s">
        <v>64</v>
      </c>
      <c r="D40" s="27" t="s">
        <v>70</v>
      </c>
      <c r="E40" s="27"/>
      <c r="F40" s="27" t="s">
        <v>65</v>
      </c>
      <c r="G40" s="14"/>
      <c r="H40" s="14"/>
      <c r="I40" s="13"/>
    </row>
    <row r="41" spans="3:9" s="2" customFormat="1" x14ac:dyDescent="0.3">
      <c r="C41" s="29" t="s">
        <v>64</v>
      </c>
      <c r="D41" s="27" t="s">
        <v>71</v>
      </c>
      <c r="E41" s="27"/>
      <c r="F41" s="27" t="s">
        <v>65</v>
      </c>
      <c r="G41" s="14"/>
      <c r="H41" s="14"/>
      <c r="I41" s="13"/>
    </row>
    <row r="42" spans="3:9" s="2" customFormat="1" x14ac:dyDescent="0.3">
      <c r="C42" s="29" t="s">
        <v>64</v>
      </c>
      <c r="D42" s="27" t="s">
        <v>72</v>
      </c>
      <c r="E42" s="27"/>
      <c r="F42" s="27" t="s">
        <v>65</v>
      </c>
      <c r="G42" s="14"/>
      <c r="H42" s="14"/>
      <c r="I42" s="13"/>
    </row>
    <row r="43" spans="3:9" s="2" customFormat="1" ht="172.95" customHeight="1" x14ac:dyDescent="0.3">
      <c r="C43" s="29" t="s">
        <v>64</v>
      </c>
      <c r="D43" s="27" t="s">
        <v>68</v>
      </c>
      <c r="E43" s="27" t="s">
        <v>316</v>
      </c>
      <c r="F43" s="27" t="s">
        <v>317</v>
      </c>
      <c r="G43" s="14"/>
      <c r="H43" s="14"/>
      <c r="I43" s="13"/>
    </row>
    <row r="44" spans="3:9" s="2" customFormat="1" ht="28.95" customHeight="1" x14ac:dyDescent="0.3">
      <c r="C44" s="29" t="s">
        <v>64</v>
      </c>
      <c r="D44" s="27" t="s">
        <v>75</v>
      </c>
      <c r="E44" s="27" t="s">
        <v>318</v>
      </c>
      <c r="F44" s="27" t="s">
        <v>319</v>
      </c>
      <c r="G44" s="14"/>
      <c r="H44" s="14"/>
      <c r="I44" s="13"/>
    </row>
    <row r="45" spans="3:9" s="2" customFormat="1" x14ac:dyDescent="0.3">
      <c r="C45" s="29" t="s">
        <v>64</v>
      </c>
      <c r="D45" s="27" t="s">
        <v>78</v>
      </c>
      <c r="E45" s="27" t="s">
        <v>320</v>
      </c>
      <c r="F45" s="27" t="s">
        <v>65</v>
      </c>
      <c r="G45" s="14"/>
      <c r="H45" s="14"/>
      <c r="I45" s="13"/>
    </row>
    <row r="46" spans="3:9" s="2" customFormat="1" x14ac:dyDescent="0.3">
      <c r="C46" s="29" t="s">
        <v>64</v>
      </c>
      <c r="D46" s="27" t="s">
        <v>79</v>
      </c>
      <c r="E46" s="27"/>
      <c r="F46" s="27" t="s">
        <v>65</v>
      </c>
      <c r="G46" s="14"/>
      <c r="H46" s="14"/>
      <c r="I46" s="13"/>
    </row>
    <row r="47" spans="3:9" s="2" customFormat="1" x14ac:dyDescent="0.3">
      <c r="C47" s="29" t="s">
        <v>64</v>
      </c>
      <c r="D47" s="27" t="s">
        <v>82</v>
      </c>
      <c r="E47" s="27"/>
      <c r="F47" s="27" t="s">
        <v>65</v>
      </c>
      <c r="G47" s="14"/>
      <c r="H47" s="14"/>
      <c r="I47" s="13"/>
    </row>
    <row r="48" spans="3:9" s="2" customFormat="1" x14ac:dyDescent="0.3">
      <c r="C48" s="29" t="s">
        <v>64</v>
      </c>
      <c r="D48" s="27" t="s">
        <v>85</v>
      </c>
      <c r="E48" s="27"/>
      <c r="F48" s="27" t="s">
        <v>319</v>
      </c>
      <c r="G48" s="14"/>
      <c r="H48" s="14"/>
      <c r="I48" s="13"/>
    </row>
    <row r="49" spans="3:9" s="2" customFormat="1" ht="28.95" customHeight="1" x14ac:dyDescent="0.3">
      <c r="C49" s="29" t="s">
        <v>64</v>
      </c>
      <c r="D49" s="27" t="s">
        <v>321</v>
      </c>
      <c r="E49" s="27"/>
      <c r="F49" s="27" t="s">
        <v>322</v>
      </c>
      <c r="G49" s="14"/>
      <c r="H49" s="14"/>
      <c r="I49" s="13"/>
    </row>
    <row r="50" spans="3:9" s="2" customFormat="1" ht="57.6" customHeight="1" x14ac:dyDescent="0.3">
      <c r="C50" s="29" t="s">
        <v>64</v>
      </c>
      <c r="D50" s="27" t="s">
        <v>89</v>
      </c>
      <c r="E50" s="27" t="s">
        <v>323</v>
      </c>
      <c r="F50" s="27" t="s">
        <v>65</v>
      </c>
      <c r="G50" s="14"/>
      <c r="H50" s="14"/>
      <c r="I50" s="13"/>
    </row>
    <row r="51" spans="3:9" s="2" customFormat="1" x14ac:dyDescent="0.3">
      <c r="C51" s="29" t="s">
        <v>64</v>
      </c>
      <c r="D51" s="27" t="s">
        <v>92</v>
      </c>
      <c r="E51" s="27" t="s">
        <v>324</v>
      </c>
      <c r="F51" s="27" t="s">
        <v>65</v>
      </c>
      <c r="G51" s="14"/>
      <c r="H51" s="14"/>
      <c r="I51" s="13"/>
    </row>
    <row r="52" spans="3:9" s="2" customFormat="1" ht="28.95" customHeight="1" x14ac:dyDescent="0.3">
      <c r="C52" s="29" t="s">
        <v>64</v>
      </c>
      <c r="D52" s="27" t="s">
        <v>94</v>
      </c>
      <c r="E52" s="27"/>
      <c r="F52" s="27" t="s">
        <v>65</v>
      </c>
      <c r="G52" s="14"/>
      <c r="H52" s="14"/>
      <c r="I52" s="13"/>
    </row>
    <row r="53" spans="3:9" s="2" customFormat="1" ht="28.95" customHeight="1" x14ac:dyDescent="0.3">
      <c r="C53" s="29" t="s">
        <v>64</v>
      </c>
      <c r="D53" s="27" t="s">
        <v>98</v>
      </c>
      <c r="E53" s="27"/>
      <c r="F53" s="27" t="s">
        <v>325</v>
      </c>
      <c r="G53" s="14"/>
      <c r="H53" s="14"/>
      <c r="I53" s="13"/>
    </row>
    <row r="54" spans="3:9" s="2" customFormat="1" x14ac:dyDescent="0.3">
      <c r="C54" s="29" t="s">
        <v>64</v>
      </c>
      <c r="D54" s="27" t="s">
        <v>101</v>
      </c>
      <c r="E54" s="27"/>
      <c r="F54" s="27" t="s">
        <v>326</v>
      </c>
      <c r="G54" s="14"/>
      <c r="H54" s="14"/>
      <c r="I54" s="13"/>
    </row>
    <row r="55" spans="3:9" x14ac:dyDescent="0.3">
      <c r="C55" s="29" t="s">
        <v>64</v>
      </c>
      <c r="D55" s="27" t="s">
        <v>103</v>
      </c>
      <c r="E55" s="27"/>
      <c r="F55" s="27" t="s">
        <v>327</v>
      </c>
    </row>
    <row r="56" spans="3:9" ht="144" customHeight="1" x14ac:dyDescent="0.3">
      <c r="C56" s="29" t="s">
        <v>17</v>
      </c>
      <c r="D56" s="27" t="s">
        <v>113</v>
      </c>
      <c r="E56" s="27" t="s">
        <v>328</v>
      </c>
      <c r="F56" s="27" t="s">
        <v>65</v>
      </c>
    </row>
    <row r="57" spans="3:9" ht="43.2" customHeight="1" x14ac:dyDescent="0.3">
      <c r="C57" s="29" t="s">
        <v>17</v>
      </c>
      <c r="D57" s="27" t="s">
        <v>329</v>
      </c>
      <c r="E57" s="27" t="s">
        <v>330</v>
      </c>
      <c r="F57" s="27" t="s">
        <v>331</v>
      </c>
    </row>
    <row r="58" spans="3:9" ht="86.4" customHeight="1" x14ac:dyDescent="0.3">
      <c r="C58" s="29" t="s">
        <v>17</v>
      </c>
      <c r="D58" s="27" t="s">
        <v>110</v>
      </c>
      <c r="E58" s="27" t="s">
        <v>332</v>
      </c>
      <c r="F58" s="27" t="s">
        <v>333</v>
      </c>
    </row>
    <row r="59" spans="3:9" ht="144" customHeight="1" x14ac:dyDescent="0.3">
      <c r="C59" s="29" t="s">
        <v>17</v>
      </c>
      <c r="D59" s="27" t="s">
        <v>132</v>
      </c>
      <c r="E59" s="27" t="s">
        <v>334</v>
      </c>
      <c r="F59" s="27" t="s">
        <v>333</v>
      </c>
    </row>
    <row r="60" spans="3:9" ht="43.2" customHeight="1" x14ac:dyDescent="0.3">
      <c r="C60" s="29" t="s">
        <v>17</v>
      </c>
      <c r="D60" s="27" t="s">
        <v>107</v>
      </c>
      <c r="E60" s="27" t="s">
        <v>335</v>
      </c>
      <c r="F60" s="27" t="s">
        <v>336</v>
      </c>
    </row>
    <row r="61" spans="3:9" ht="72" customHeight="1" x14ac:dyDescent="0.3">
      <c r="C61" s="29" t="s">
        <v>17</v>
      </c>
      <c r="D61" s="27" t="s">
        <v>337</v>
      </c>
      <c r="E61" s="27" t="s">
        <v>338</v>
      </c>
      <c r="F61" s="27" t="s">
        <v>339</v>
      </c>
    </row>
    <row r="62" spans="3:9" ht="100.95" customHeight="1" x14ac:dyDescent="0.3">
      <c r="C62" s="29" t="s">
        <v>17</v>
      </c>
      <c r="D62" s="27" t="s">
        <v>119</v>
      </c>
      <c r="E62" s="27" t="s">
        <v>340</v>
      </c>
      <c r="F62" s="27" t="s">
        <v>341</v>
      </c>
    </row>
    <row r="63" spans="3:9" ht="57.6" customHeight="1" x14ac:dyDescent="0.3">
      <c r="C63" s="29" t="s">
        <v>17</v>
      </c>
      <c r="D63" s="27" t="s">
        <v>342</v>
      </c>
      <c r="E63" s="27" t="s">
        <v>343</v>
      </c>
      <c r="F63" s="27" t="s">
        <v>333</v>
      </c>
    </row>
    <row r="64" spans="3:9" ht="100.95" customHeight="1" x14ac:dyDescent="0.3">
      <c r="C64" s="29" t="s">
        <v>17</v>
      </c>
      <c r="D64" s="27" t="s">
        <v>122</v>
      </c>
      <c r="E64" s="27" t="s">
        <v>344</v>
      </c>
      <c r="F64" s="27" t="s">
        <v>65</v>
      </c>
    </row>
    <row r="65" spans="3:6" ht="57.6" customHeight="1" x14ac:dyDescent="0.3">
      <c r="C65" s="29" t="s">
        <v>17</v>
      </c>
      <c r="D65" s="27" t="s">
        <v>121</v>
      </c>
      <c r="E65" s="27" t="s">
        <v>345</v>
      </c>
      <c r="F65" s="27" t="s">
        <v>346</v>
      </c>
    </row>
    <row r="66" spans="3:6" ht="28.95" customHeight="1" x14ac:dyDescent="0.3">
      <c r="C66" s="29" t="s">
        <v>17</v>
      </c>
      <c r="D66" s="27" t="s">
        <v>126</v>
      </c>
      <c r="E66" s="27" t="s">
        <v>347</v>
      </c>
      <c r="F66" s="27" t="s">
        <v>333</v>
      </c>
    </row>
    <row r="67" spans="3:6" ht="28.95" customHeight="1" x14ac:dyDescent="0.3">
      <c r="C67" s="29" t="s">
        <v>17</v>
      </c>
      <c r="D67" s="27" t="s">
        <v>348</v>
      </c>
      <c r="E67" s="27" t="s">
        <v>349</v>
      </c>
      <c r="F67" s="27" t="s">
        <v>350</v>
      </c>
    </row>
    <row r="68" spans="3:6" ht="28.95" customHeight="1" x14ac:dyDescent="0.3">
      <c r="C68" s="29" t="s">
        <v>17</v>
      </c>
      <c r="D68" s="27" t="s">
        <v>351</v>
      </c>
      <c r="E68" s="27" t="s">
        <v>352</v>
      </c>
      <c r="F68" s="27" t="s">
        <v>331</v>
      </c>
    </row>
    <row r="69" spans="3:6" ht="43.2" customHeight="1" x14ac:dyDescent="0.3">
      <c r="C69" s="29" t="s">
        <v>17</v>
      </c>
      <c r="D69" s="27" t="s">
        <v>117</v>
      </c>
      <c r="E69" s="27" t="s">
        <v>353</v>
      </c>
      <c r="F69" s="27" t="s">
        <v>331</v>
      </c>
    </row>
    <row r="70" spans="3:6" ht="28.95" customHeight="1" x14ac:dyDescent="0.3">
      <c r="C70" s="29" t="s">
        <v>17</v>
      </c>
      <c r="D70" s="27" t="s">
        <v>354</v>
      </c>
      <c r="E70" s="27" t="s">
        <v>355</v>
      </c>
      <c r="F70" s="27" t="s">
        <v>333</v>
      </c>
    </row>
    <row r="71" spans="3:6" ht="28.95" customHeight="1" x14ac:dyDescent="0.3">
      <c r="C71" s="29" t="s">
        <v>17</v>
      </c>
      <c r="D71" s="27" t="s">
        <v>356</v>
      </c>
      <c r="E71" s="27" t="s">
        <v>357</v>
      </c>
      <c r="F71" s="27" t="s">
        <v>336</v>
      </c>
    </row>
    <row r="72" spans="3:6" ht="43.2" customHeight="1" x14ac:dyDescent="0.3">
      <c r="C72" s="29" t="s">
        <v>17</v>
      </c>
      <c r="D72" s="27" t="s">
        <v>358</v>
      </c>
      <c r="E72" s="27" t="s">
        <v>359</v>
      </c>
      <c r="F72" s="27" t="s">
        <v>331</v>
      </c>
    </row>
    <row r="73" spans="3:6" ht="28.95" customHeight="1" x14ac:dyDescent="0.3">
      <c r="C73" s="29" t="s">
        <v>17</v>
      </c>
      <c r="D73" s="27" t="s">
        <v>129</v>
      </c>
      <c r="E73" s="27" t="s">
        <v>360</v>
      </c>
      <c r="F73" s="27" t="s">
        <v>331</v>
      </c>
    </row>
    <row r="74" spans="3:6" ht="57.6" customHeight="1" x14ac:dyDescent="0.3">
      <c r="C74" s="29" t="s">
        <v>17</v>
      </c>
      <c r="D74" s="27" t="s">
        <v>130</v>
      </c>
      <c r="E74" s="27" t="s">
        <v>361</v>
      </c>
      <c r="F74" s="27" t="s">
        <v>331</v>
      </c>
    </row>
    <row r="75" spans="3:6" ht="43.2" customHeight="1" x14ac:dyDescent="0.3">
      <c r="C75" s="29" t="s">
        <v>17</v>
      </c>
      <c r="D75" s="27" t="s">
        <v>125</v>
      </c>
      <c r="E75" s="27" t="s">
        <v>362</v>
      </c>
      <c r="F75" s="27" t="s">
        <v>331</v>
      </c>
    </row>
    <row r="76" spans="3:6" ht="57.6" customHeight="1" x14ac:dyDescent="0.3">
      <c r="C76" s="29" t="s">
        <v>17</v>
      </c>
      <c r="D76" s="27" t="s">
        <v>108</v>
      </c>
      <c r="E76" s="27" t="s">
        <v>363</v>
      </c>
      <c r="F76" s="27" t="s">
        <v>333</v>
      </c>
    </row>
    <row r="77" spans="3:6" ht="72" customHeight="1" x14ac:dyDescent="0.3">
      <c r="C77" s="29" t="s">
        <v>17</v>
      </c>
      <c r="D77" s="27" t="s">
        <v>120</v>
      </c>
      <c r="E77" s="27" t="s">
        <v>364</v>
      </c>
      <c r="F77" s="27" t="s">
        <v>333</v>
      </c>
    </row>
    <row r="78" spans="3:6" ht="72" customHeight="1" x14ac:dyDescent="0.3">
      <c r="C78" s="29" t="s">
        <v>17</v>
      </c>
      <c r="D78" s="27" t="s">
        <v>128</v>
      </c>
      <c r="E78" s="27" t="s">
        <v>365</v>
      </c>
      <c r="F78" s="27" t="s">
        <v>333</v>
      </c>
    </row>
    <row r="79" spans="3:6" ht="43.2" customHeight="1" x14ac:dyDescent="0.3">
      <c r="C79" s="29" t="s">
        <v>17</v>
      </c>
      <c r="D79" s="27" t="s">
        <v>110</v>
      </c>
      <c r="E79" s="27" t="s">
        <v>366</v>
      </c>
      <c r="F79" s="27" t="s">
        <v>333</v>
      </c>
    </row>
    <row r="80" spans="3:6" ht="72" customHeight="1" x14ac:dyDescent="0.3">
      <c r="C80" s="29" t="s">
        <v>17</v>
      </c>
      <c r="D80" s="27" t="s">
        <v>118</v>
      </c>
      <c r="E80" s="27" t="s">
        <v>367</v>
      </c>
      <c r="F80" s="27" t="s">
        <v>333</v>
      </c>
    </row>
    <row r="81" spans="3:6" ht="43.2" customHeight="1" x14ac:dyDescent="0.3">
      <c r="C81" s="29" t="s">
        <v>17</v>
      </c>
      <c r="D81" s="27" t="s">
        <v>124</v>
      </c>
      <c r="E81" s="27" t="s">
        <v>368</v>
      </c>
      <c r="F81" s="27" t="s">
        <v>331</v>
      </c>
    </row>
    <row r="82" spans="3:6" ht="43.2" customHeight="1" x14ac:dyDescent="0.3">
      <c r="C82" s="29" t="s">
        <v>17</v>
      </c>
      <c r="D82" s="27" t="s">
        <v>111</v>
      </c>
      <c r="E82" s="27" t="s">
        <v>369</v>
      </c>
      <c r="F82" s="27" t="s">
        <v>65</v>
      </c>
    </row>
    <row r="83" spans="3:6" ht="72" customHeight="1" x14ac:dyDescent="0.3">
      <c r="C83" s="29" t="s">
        <v>17</v>
      </c>
      <c r="D83" s="27" t="s">
        <v>114</v>
      </c>
      <c r="E83" s="27" t="s">
        <v>370</v>
      </c>
      <c r="F83" s="27" t="s">
        <v>333</v>
      </c>
    </row>
    <row r="84" spans="3:6" ht="43.2" customHeight="1" x14ac:dyDescent="0.3">
      <c r="C84" s="29" t="s">
        <v>17</v>
      </c>
      <c r="D84" s="27" t="s">
        <v>371</v>
      </c>
      <c r="E84" s="27" t="s">
        <v>372</v>
      </c>
      <c r="F84" s="27" t="s">
        <v>333</v>
      </c>
    </row>
    <row r="85" spans="3:6" ht="28.95" customHeight="1" x14ac:dyDescent="0.3">
      <c r="C85" s="29" t="s">
        <v>17</v>
      </c>
      <c r="D85" s="27" t="s">
        <v>131</v>
      </c>
      <c r="E85" s="27" t="s">
        <v>373</v>
      </c>
      <c r="F85" s="27" t="s">
        <v>333</v>
      </c>
    </row>
    <row r="86" spans="3:6" x14ac:dyDescent="0.3">
      <c r="C86" s="29" t="s">
        <v>17</v>
      </c>
      <c r="D86" s="27" t="s">
        <v>374</v>
      </c>
      <c r="E86" s="27" t="s">
        <v>375</v>
      </c>
      <c r="F86" s="27" t="s">
        <v>331</v>
      </c>
    </row>
    <row r="87" spans="3:6" x14ac:dyDescent="0.3">
      <c r="C87" s="29" t="s">
        <v>17</v>
      </c>
      <c r="D87" s="27" t="s">
        <v>123</v>
      </c>
      <c r="E87" s="27" t="s">
        <v>376</v>
      </c>
      <c r="F87" s="27" t="s">
        <v>333</v>
      </c>
    </row>
    <row r="88" spans="3:6" ht="72" customHeight="1" x14ac:dyDescent="0.3">
      <c r="C88" s="29" t="s">
        <v>17</v>
      </c>
      <c r="D88" s="27" t="s">
        <v>127</v>
      </c>
      <c r="E88" s="27" t="s">
        <v>377</v>
      </c>
      <c r="F88" s="27" t="s">
        <v>333</v>
      </c>
    </row>
    <row r="89" spans="3:6" ht="100.95" customHeight="1" x14ac:dyDescent="0.3">
      <c r="C89" s="29" t="s">
        <v>17</v>
      </c>
      <c r="D89" s="27" t="s">
        <v>137</v>
      </c>
      <c r="E89" s="27" t="s">
        <v>378</v>
      </c>
      <c r="F89" s="27" t="s">
        <v>333</v>
      </c>
    </row>
    <row r="90" spans="3:6" ht="57.6" customHeight="1" x14ac:dyDescent="0.3">
      <c r="C90" s="29" t="s">
        <v>17</v>
      </c>
      <c r="D90" s="27" t="s">
        <v>141</v>
      </c>
      <c r="E90" s="27" t="s">
        <v>379</v>
      </c>
      <c r="F90" s="27" t="s">
        <v>333</v>
      </c>
    </row>
    <row r="91" spans="3:6" ht="86.4" customHeight="1" x14ac:dyDescent="0.3">
      <c r="C91" s="29" t="s">
        <v>17</v>
      </c>
      <c r="D91" s="27" t="s">
        <v>148</v>
      </c>
      <c r="E91" s="27" t="s">
        <v>380</v>
      </c>
      <c r="F91" s="27" t="s">
        <v>333</v>
      </c>
    </row>
    <row r="92" spans="3:6" ht="57.6" customHeight="1" x14ac:dyDescent="0.3">
      <c r="C92" s="29" t="s">
        <v>17</v>
      </c>
      <c r="D92" s="27" t="s">
        <v>144</v>
      </c>
      <c r="E92" s="27" t="s">
        <v>381</v>
      </c>
      <c r="F92" s="27" t="s">
        <v>333</v>
      </c>
    </row>
    <row r="93" spans="3:6" ht="57.6" customHeight="1" x14ac:dyDescent="0.3">
      <c r="C93" s="29" t="s">
        <v>17</v>
      </c>
      <c r="D93" s="27" t="s">
        <v>382</v>
      </c>
      <c r="E93" s="27" t="s">
        <v>383</v>
      </c>
      <c r="F93" s="27" t="s">
        <v>384</v>
      </c>
    </row>
    <row r="94" spans="3:6" ht="72" customHeight="1" x14ac:dyDescent="0.3">
      <c r="C94" s="29" t="s">
        <v>17</v>
      </c>
      <c r="D94" s="27" t="s">
        <v>385</v>
      </c>
      <c r="E94" s="27" t="s">
        <v>386</v>
      </c>
      <c r="F94" s="27" t="s">
        <v>279</v>
      </c>
    </row>
    <row r="95" spans="3:6" ht="72" customHeight="1" x14ac:dyDescent="0.3">
      <c r="C95" s="29" t="s">
        <v>17</v>
      </c>
      <c r="D95" s="27" t="s">
        <v>145</v>
      </c>
      <c r="E95" s="27" t="s">
        <v>387</v>
      </c>
      <c r="F95" s="27" t="s">
        <v>333</v>
      </c>
    </row>
    <row r="96" spans="3:6" ht="72" customHeight="1" x14ac:dyDescent="0.3">
      <c r="C96" s="29" t="s">
        <v>17</v>
      </c>
      <c r="D96" s="27" t="s">
        <v>388</v>
      </c>
      <c r="E96" s="27" t="s">
        <v>389</v>
      </c>
      <c r="F96" s="27" t="s">
        <v>390</v>
      </c>
    </row>
    <row r="97" spans="3:6" ht="72" customHeight="1" x14ac:dyDescent="0.3">
      <c r="C97" s="29" t="s">
        <v>17</v>
      </c>
      <c r="D97" s="27" t="s">
        <v>391</v>
      </c>
      <c r="E97" s="27" t="s">
        <v>392</v>
      </c>
      <c r="F97" s="27" t="s">
        <v>393</v>
      </c>
    </row>
    <row r="98" spans="3:6" ht="43.2" customHeight="1" x14ac:dyDescent="0.3">
      <c r="C98" s="29" t="s">
        <v>17</v>
      </c>
      <c r="D98" s="27" t="s">
        <v>394</v>
      </c>
      <c r="E98" s="27" t="s">
        <v>395</v>
      </c>
      <c r="F98" s="27" t="s">
        <v>396</v>
      </c>
    </row>
    <row r="99" spans="3:6" ht="72" customHeight="1" x14ac:dyDescent="0.3">
      <c r="C99" s="29" t="s">
        <v>17</v>
      </c>
      <c r="D99" s="27" t="s">
        <v>397</v>
      </c>
      <c r="E99" s="27" t="s">
        <v>398</v>
      </c>
      <c r="F99" s="27" t="s">
        <v>399</v>
      </c>
    </row>
    <row r="100" spans="3:6" ht="86.4" customHeight="1" x14ac:dyDescent="0.3">
      <c r="C100" s="29" t="s">
        <v>17</v>
      </c>
      <c r="D100" s="27" t="s">
        <v>400</v>
      </c>
      <c r="E100" s="27" t="s">
        <v>401</v>
      </c>
      <c r="F100" s="27" t="s">
        <v>333</v>
      </c>
    </row>
    <row r="101" spans="3:6" ht="57.6" customHeight="1" x14ac:dyDescent="0.3">
      <c r="C101" s="29" t="s">
        <v>17</v>
      </c>
      <c r="D101" s="27" t="s">
        <v>402</v>
      </c>
      <c r="E101" s="27" t="s">
        <v>403</v>
      </c>
      <c r="F101" s="27" t="s">
        <v>404</v>
      </c>
    </row>
    <row r="102" spans="3:6" ht="43.2" customHeight="1" x14ac:dyDescent="0.3">
      <c r="C102" s="29" t="s">
        <v>17</v>
      </c>
      <c r="D102" s="27" t="s">
        <v>405</v>
      </c>
      <c r="E102" s="27" t="s">
        <v>406</v>
      </c>
      <c r="F102" s="27" t="s">
        <v>407</v>
      </c>
    </row>
    <row r="103" spans="3:6" ht="57.6" customHeight="1" x14ac:dyDescent="0.3">
      <c r="C103" s="29" t="s">
        <v>17</v>
      </c>
      <c r="D103" s="27" t="s">
        <v>136</v>
      </c>
      <c r="E103" s="27" t="s">
        <v>408</v>
      </c>
      <c r="F103" s="27" t="s">
        <v>409</v>
      </c>
    </row>
    <row r="104" spans="3:6" ht="57.6" customHeight="1" x14ac:dyDescent="0.3">
      <c r="C104" s="29" t="s">
        <v>17</v>
      </c>
      <c r="D104" s="27" t="s">
        <v>155</v>
      </c>
      <c r="E104" s="27" t="s">
        <v>410</v>
      </c>
      <c r="F104" s="27" t="s">
        <v>333</v>
      </c>
    </row>
    <row r="105" spans="3:6" ht="244.95" customHeight="1" x14ac:dyDescent="0.3">
      <c r="C105" s="29" t="s">
        <v>17</v>
      </c>
      <c r="D105" s="27" t="s">
        <v>159</v>
      </c>
      <c r="E105" s="27" t="s">
        <v>411</v>
      </c>
      <c r="F105" s="27" t="s">
        <v>412</v>
      </c>
    </row>
    <row r="106" spans="3:6" ht="100.95" customHeight="1" x14ac:dyDescent="0.3">
      <c r="C106" s="29" t="s">
        <v>17</v>
      </c>
      <c r="D106" s="27" t="s">
        <v>163</v>
      </c>
      <c r="E106" s="27" t="s">
        <v>413</v>
      </c>
      <c r="F106" s="27" t="s">
        <v>333</v>
      </c>
    </row>
    <row r="107" spans="3:6" ht="172.95" customHeight="1" x14ac:dyDescent="0.3">
      <c r="C107" s="29" t="s">
        <v>17</v>
      </c>
      <c r="D107" s="27" t="s">
        <v>414</v>
      </c>
      <c r="E107" s="27" t="s">
        <v>415</v>
      </c>
      <c r="F107" s="27" t="s">
        <v>416</v>
      </c>
    </row>
    <row r="108" spans="3:6" ht="28.95" customHeight="1" x14ac:dyDescent="0.3">
      <c r="C108" s="29" t="s">
        <v>17</v>
      </c>
      <c r="D108" s="27" t="s">
        <v>417</v>
      </c>
      <c r="E108" s="27" t="s">
        <v>418</v>
      </c>
      <c r="F108" s="27" t="s">
        <v>416</v>
      </c>
    </row>
    <row r="109" spans="3:6" ht="43.2" customHeight="1" x14ac:dyDescent="0.3">
      <c r="C109" s="29" t="s">
        <v>17</v>
      </c>
      <c r="D109" s="27" t="s">
        <v>419</v>
      </c>
      <c r="E109" s="27" t="s">
        <v>420</v>
      </c>
      <c r="F109" s="27" t="s">
        <v>421</v>
      </c>
    </row>
    <row r="110" spans="3:6" ht="57.6" customHeight="1" x14ac:dyDescent="0.3">
      <c r="C110" s="29" t="s">
        <v>17</v>
      </c>
      <c r="D110" s="27" t="s">
        <v>165</v>
      </c>
      <c r="E110" s="27" t="s">
        <v>422</v>
      </c>
      <c r="F110" s="27" t="s">
        <v>333</v>
      </c>
    </row>
    <row r="111" spans="3:6" ht="57.6" customHeight="1" x14ac:dyDescent="0.3">
      <c r="C111" s="29" t="s">
        <v>17</v>
      </c>
      <c r="D111" s="27" t="s">
        <v>423</v>
      </c>
      <c r="E111" s="27" t="s">
        <v>424</v>
      </c>
      <c r="F111" s="27" t="s">
        <v>412</v>
      </c>
    </row>
    <row r="112" spans="3:6" ht="43.2" customHeight="1" x14ac:dyDescent="0.3">
      <c r="C112" s="29" t="s">
        <v>17</v>
      </c>
      <c r="D112" s="27" t="s">
        <v>425</v>
      </c>
      <c r="E112" s="27" t="s">
        <v>426</v>
      </c>
      <c r="F112" s="27" t="s">
        <v>333</v>
      </c>
    </row>
    <row r="113" spans="3:6" ht="57.6" customHeight="1" x14ac:dyDescent="0.3">
      <c r="C113" s="29" t="s">
        <v>17</v>
      </c>
      <c r="D113" s="27" t="s">
        <v>427</v>
      </c>
      <c r="E113" s="27" t="s">
        <v>428</v>
      </c>
      <c r="F113" s="27" t="s">
        <v>333</v>
      </c>
    </row>
    <row r="114" spans="3:6" ht="28.95" customHeight="1" x14ac:dyDescent="0.3">
      <c r="C114" s="29" t="s">
        <v>17</v>
      </c>
      <c r="D114" s="27" t="s">
        <v>429</v>
      </c>
      <c r="E114" s="27" t="s">
        <v>430</v>
      </c>
      <c r="F114" s="27" t="s">
        <v>333</v>
      </c>
    </row>
    <row r="115" spans="3:6" ht="158.4" customHeight="1" x14ac:dyDescent="0.3">
      <c r="C115" s="29" t="s">
        <v>17</v>
      </c>
      <c r="D115" s="27" t="s">
        <v>154</v>
      </c>
      <c r="E115" s="27" t="s">
        <v>431</v>
      </c>
      <c r="F115" s="27" t="s">
        <v>432</v>
      </c>
    </row>
    <row r="116" spans="3:6" ht="57.6" customHeight="1" x14ac:dyDescent="0.3">
      <c r="C116" s="29" t="s">
        <v>17</v>
      </c>
      <c r="D116" s="27" t="s">
        <v>167</v>
      </c>
      <c r="E116" s="27" t="s">
        <v>433</v>
      </c>
      <c r="F116" s="27" t="s">
        <v>432</v>
      </c>
    </row>
    <row r="117" spans="3:6" ht="144" customHeight="1" x14ac:dyDescent="0.3">
      <c r="C117" s="29" t="s">
        <v>17</v>
      </c>
      <c r="D117" s="27" t="s">
        <v>151</v>
      </c>
      <c r="E117" s="27" t="s">
        <v>434</v>
      </c>
      <c r="F117" s="27" t="s">
        <v>432</v>
      </c>
    </row>
    <row r="118" spans="3:6" ht="86.4" customHeight="1" x14ac:dyDescent="0.3">
      <c r="C118" s="29" t="s">
        <v>17</v>
      </c>
      <c r="D118" s="27" t="s">
        <v>135</v>
      </c>
      <c r="E118" s="27" t="s">
        <v>435</v>
      </c>
      <c r="F118" s="27" t="s">
        <v>333</v>
      </c>
    </row>
    <row r="119" spans="3:6" ht="230.4" customHeight="1" x14ac:dyDescent="0.3">
      <c r="C119" s="29" t="s">
        <v>17</v>
      </c>
      <c r="D119" s="27" t="s">
        <v>142</v>
      </c>
      <c r="E119" s="27" t="s">
        <v>436</v>
      </c>
      <c r="F119" s="27" t="s">
        <v>346</v>
      </c>
    </row>
    <row r="120" spans="3:6" ht="115.2" customHeight="1" x14ac:dyDescent="0.3">
      <c r="C120" s="29" t="s">
        <v>17</v>
      </c>
      <c r="D120" s="27" t="s">
        <v>158</v>
      </c>
      <c r="E120" s="27" t="s">
        <v>437</v>
      </c>
      <c r="F120" s="27" t="s">
        <v>333</v>
      </c>
    </row>
    <row r="121" spans="3:6" ht="57.6" customHeight="1" x14ac:dyDescent="0.3">
      <c r="C121" s="29" t="s">
        <v>17</v>
      </c>
      <c r="D121" s="27" t="s">
        <v>139</v>
      </c>
      <c r="E121" s="27" t="s">
        <v>438</v>
      </c>
      <c r="F121" s="27" t="s">
        <v>439</v>
      </c>
    </row>
    <row r="122" spans="3:6" ht="100.95" customHeight="1" x14ac:dyDescent="0.3">
      <c r="C122" s="29" t="s">
        <v>17</v>
      </c>
      <c r="D122" s="27" t="s">
        <v>156</v>
      </c>
      <c r="E122" s="27" t="s">
        <v>440</v>
      </c>
      <c r="F122" s="27" t="s">
        <v>341</v>
      </c>
    </row>
    <row r="123" spans="3:6" ht="28.95" customHeight="1" x14ac:dyDescent="0.3">
      <c r="C123" s="29" t="s">
        <v>17</v>
      </c>
      <c r="D123" s="27" t="s">
        <v>441</v>
      </c>
      <c r="E123" s="27" t="s">
        <v>442</v>
      </c>
      <c r="F123" s="27" t="s">
        <v>350</v>
      </c>
    </row>
    <row r="124" spans="3:6" ht="100.95" customHeight="1" x14ac:dyDescent="0.3">
      <c r="C124" s="29" t="s">
        <v>17</v>
      </c>
      <c r="D124" s="27" t="s">
        <v>164</v>
      </c>
      <c r="E124" s="27" t="s">
        <v>443</v>
      </c>
      <c r="F124" s="27" t="s">
        <v>444</v>
      </c>
    </row>
    <row r="125" spans="3:6" ht="72" customHeight="1" x14ac:dyDescent="0.3">
      <c r="C125" s="29" t="s">
        <v>17</v>
      </c>
      <c r="D125" s="27" t="s">
        <v>147</v>
      </c>
      <c r="E125" s="27" t="s">
        <v>445</v>
      </c>
      <c r="F125" s="27" t="s">
        <v>432</v>
      </c>
    </row>
    <row r="126" spans="3:6" ht="72" customHeight="1" x14ac:dyDescent="0.3">
      <c r="C126" s="29" t="s">
        <v>17</v>
      </c>
      <c r="D126" s="27" t="s">
        <v>140</v>
      </c>
      <c r="E126" s="27" t="s">
        <v>446</v>
      </c>
      <c r="F126" s="27" t="s">
        <v>333</v>
      </c>
    </row>
    <row r="127" spans="3:6" ht="244.95" customHeight="1" x14ac:dyDescent="0.3">
      <c r="C127" s="29" t="s">
        <v>17</v>
      </c>
      <c r="D127" s="27" t="s">
        <v>447</v>
      </c>
      <c r="E127" s="27" t="s">
        <v>448</v>
      </c>
      <c r="F127" s="27" t="s">
        <v>333</v>
      </c>
    </row>
    <row r="128" spans="3:6" ht="100.95" customHeight="1" x14ac:dyDescent="0.3">
      <c r="C128" s="29" t="s">
        <v>17</v>
      </c>
      <c r="D128" s="27" t="s">
        <v>449</v>
      </c>
      <c r="E128" s="27" t="s">
        <v>413</v>
      </c>
      <c r="F128" s="27" t="s">
        <v>333</v>
      </c>
    </row>
    <row r="129" spans="3:6" ht="86.4" customHeight="1" x14ac:dyDescent="0.3">
      <c r="C129" s="29" t="s">
        <v>17</v>
      </c>
      <c r="D129" s="27" t="s">
        <v>450</v>
      </c>
      <c r="E129" s="27" t="s">
        <v>451</v>
      </c>
      <c r="F129" s="27" t="s">
        <v>333</v>
      </c>
    </row>
    <row r="130" spans="3:6" ht="86.4" customHeight="1" x14ac:dyDescent="0.3">
      <c r="C130" s="29" t="s">
        <v>17</v>
      </c>
      <c r="D130" s="27" t="s">
        <v>452</v>
      </c>
      <c r="E130" s="27" t="s">
        <v>453</v>
      </c>
      <c r="F130" s="27" t="s">
        <v>333</v>
      </c>
    </row>
    <row r="131" spans="3:6" ht="57.6" customHeight="1" x14ac:dyDescent="0.3">
      <c r="C131" s="29" t="s">
        <v>17</v>
      </c>
      <c r="D131" s="27" t="s">
        <v>454</v>
      </c>
      <c r="E131" s="27" t="s">
        <v>455</v>
      </c>
      <c r="F131" s="27" t="s">
        <v>412</v>
      </c>
    </row>
    <row r="132" spans="3:6" ht="43.2" customHeight="1" x14ac:dyDescent="0.3">
      <c r="C132" s="29" t="s">
        <v>17</v>
      </c>
      <c r="D132" s="27" t="s">
        <v>456</v>
      </c>
      <c r="E132" s="27" t="s">
        <v>426</v>
      </c>
      <c r="F132" s="27" t="s">
        <v>333</v>
      </c>
    </row>
    <row r="133" spans="3:6" ht="86.4" customHeight="1" x14ac:dyDescent="0.3">
      <c r="C133" s="29" t="s">
        <v>17</v>
      </c>
      <c r="D133" s="27" t="s">
        <v>457</v>
      </c>
      <c r="E133" s="27" t="s">
        <v>458</v>
      </c>
      <c r="F133" s="27" t="s">
        <v>444</v>
      </c>
    </row>
    <row r="134" spans="3:6" ht="43.2" customHeight="1" x14ac:dyDescent="0.3">
      <c r="C134" s="29" t="s">
        <v>17</v>
      </c>
      <c r="D134" s="27" t="s">
        <v>459</v>
      </c>
      <c r="E134" s="27" t="s">
        <v>460</v>
      </c>
      <c r="F134" s="27" t="s">
        <v>333</v>
      </c>
    </row>
    <row r="135" spans="3:6" ht="72" customHeight="1" x14ac:dyDescent="0.3">
      <c r="C135" s="29" t="s">
        <v>17</v>
      </c>
      <c r="D135" s="27" t="s">
        <v>461</v>
      </c>
      <c r="E135" s="27" t="s">
        <v>462</v>
      </c>
      <c r="F135" s="27" t="s">
        <v>333</v>
      </c>
    </row>
    <row r="136" spans="3:6" ht="86.4" customHeight="1" x14ac:dyDescent="0.3">
      <c r="C136" s="29" t="s">
        <v>17</v>
      </c>
      <c r="D136" s="27" t="s">
        <v>463</v>
      </c>
      <c r="E136" s="27" t="s">
        <v>464</v>
      </c>
      <c r="F136" s="27" t="s">
        <v>465</v>
      </c>
    </row>
    <row r="137" spans="3:6" ht="28.95" customHeight="1" x14ac:dyDescent="0.3">
      <c r="C137" s="29" t="s">
        <v>17</v>
      </c>
      <c r="D137" s="27" t="s">
        <v>138</v>
      </c>
      <c r="E137" s="27" t="s">
        <v>466</v>
      </c>
      <c r="F137" s="27" t="s">
        <v>416</v>
      </c>
    </row>
    <row r="138" spans="3:6" x14ac:dyDescent="0.3">
      <c r="C138" s="29" t="s">
        <v>17</v>
      </c>
      <c r="D138" s="27" t="s">
        <v>153</v>
      </c>
      <c r="E138" s="27"/>
      <c r="F138" s="27" t="s">
        <v>444</v>
      </c>
    </row>
    <row r="139" spans="3:6" x14ac:dyDescent="0.3">
      <c r="C139" s="29" t="s">
        <v>17</v>
      </c>
      <c r="D139" s="27" t="s">
        <v>160</v>
      </c>
      <c r="E139" s="27"/>
      <c r="F139" s="27" t="s">
        <v>444</v>
      </c>
    </row>
    <row r="140" spans="3:6" ht="72" customHeight="1" x14ac:dyDescent="0.3">
      <c r="C140" s="29" t="s">
        <v>17</v>
      </c>
      <c r="D140" s="27" t="s">
        <v>178</v>
      </c>
      <c r="E140" s="27" t="s">
        <v>467</v>
      </c>
      <c r="F140" s="27" t="s">
        <v>468</v>
      </c>
    </row>
    <row r="141" spans="3:6" ht="57.6" customHeight="1" x14ac:dyDescent="0.3">
      <c r="C141" s="29" t="s">
        <v>17</v>
      </c>
      <c r="D141" s="27" t="s">
        <v>188</v>
      </c>
      <c r="E141" s="27" t="s">
        <v>469</v>
      </c>
      <c r="F141" s="27" t="s">
        <v>333</v>
      </c>
    </row>
    <row r="142" spans="3:6" ht="43.2" customHeight="1" x14ac:dyDescent="0.3">
      <c r="C142" s="29" t="s">
        <v>17</v>
      </c>
      <c r="D142" s="27" t="s">
        <v>470</v>
      </c>
      <c r="E142" s="27" t="s">
        <v>471</v>
      </c>
      <c r="F142" s="27" t="s">
        <v>333</v>
      </c>
    </row>
    <row r="143" spans="3:6" ht="86.4" customHeight="1" x14ac:dyDescent="0.3">
      <c r="C143" s="29" t="s">
        <v>17</v>
      </c>
      <c r="D143" s="27" t="s">
        <v>171</v>
      </c>
      <c r="E143" s="27" t="s">
        <v>472</v>
      </c>
      <c r="F143" s="27" t="s">
        <v>333</v>
      </c>
    </row>
    <row r="144" spans="3:6" ht="129.6" customHeight="1" x14ac:dyDescent="0.3">
      <c r="C144" s="29" t="s">
        <v>17</v>
      </c>
      <c r="D144" s="27" t="s">
        <v>173</v>
      </c>
      <c r="E144" s="27" t="s">
        <v>473</v>
      </c>
      <c r="F144" s="27" t="s">
        <v>331</v>
      </c>
    </row>
    <row r="145" spans="3:6" ht="72" customHeight="1" x14ac:dyDescent="0.3">
      <c r="C145" s="29" t="s">
        <v>17</v>
      </c>
      <c r="D145" s="27" t="s">
        <v>191</v>
      </c>
      <c r="E145" s="27" t="s">
        <v>474</v>
      </c>
      <c r="F145" s="27" t="s">
        <v>333</v>
      </c>
    </row>
    <row r="146" spans="3:6" ht="57.6" customHeight="1" x14ac:dyDescent="0.3">
      <c r="C146" s="29" t="s">
        <v>17</v>
      </c>
      <c r="D146" s="27" t="s">
        <v>475</v>
      </c>
      <c r="E146" s="27" t="s">
        <v>476</v>
      </c>
      <c r="F146" s="27" t="s">
        <v>333</v>
      </c>
    </row>
    <row r="147" spans="3:6" ht="100.95" customHeight="1" x14ac:dyDescent="0.3">
      <c r="C147" s="29" t="s">
        <v>17</v>
      </c>
      <c r="D147" s="27" t="s">
        <v>190</v>
      </c>
      <c r="E147" s="27" t="s">
        <v>477</v>
      </c>
      <c r="F147" s="27" t="s">
        <v>333</v>
      </c>
    </row>
    <row r="148" spans="3:6" ht="72" customHeight="1" x14ac:dyDescent="0.3">
      <c r="C148" s="29" t="s">
        <v>17</v>
      </c>
      <c r="D148" s="27" t="s">
        <v>478</v>
      </c>
      <c r="E148" s="27" t="s">
        <v>479</v>
      </c>
      <c r="F148" s="27" t="s">
        <v>480</v>
      </c>
    </row>
    <row r="149" spans="3:6" ht="72" customHeight="1" x14ac:dyDescent="0.3">
      <c r="C149" s="29" t="s">
        <v>17</v>
      </c>
      <c r="D149" s="27" t="s">
        <v>481</v>
      </c>
      <c r="E149" s="27" t="s">
        <v>482</v>
      </c>
      <c r="F149" s="27" t="s">
        <v>483</v>
      </c>
    </row>
    <row r="150" spans="3:6" ht="72" customHeight="1" x14ac:dyDescent="0.3">
      <c r="C150" s="29" t="s">
        <v>17</v>
      </c>
      <c r="D150" s="27" t="s">
        <v>484</v>
      </c>
      <c r="E150" s="27" t="s">
        <v>485</v>
      </c>
      <c r="F150" s="27" t="s">
        <v>486</v>
      </c>
    </row>
    <row r="151" spans="3:6" ht="86.4" customHeight="1" x14ac:dyDescent="0.3">
      <c r="C151" s="29" t="s">
        <v>17</v>
      </c>
      <c r="D151" s="27" t="s">
        <v>175</v>
      </c>
      <c r="E151" s="27" t="s">
        <v>487</v>
      </c>
      <c r="F151" s="27" t="s">
        <v>488</v>
      </c>
    </row>
    <row r="152" spans="3:6" ht="57.6" customHeight="1" x14ac:dyDescent="0.3">
      <c r="C152" s="29" t="s">
        <v>17</v>
      </c>
      <c r="D152" s="27" t="s">
        <v>489</v>
      </c>
      <c r="E152" s="27" t="s">
        <v>490</v>
      </c>
      <c r="F152" s="27" t="s">
        <v>486</v>
      </c>
    </row>
    <row r="153" spans="3:6" ht="86.4" customHeight="1" x14ac:dyDescent="0.3">
      <c r="C153" s="29" t="s">
        <v>17</v>
      </c>
      <c r="D153" s="27" t="s">
        <v>186</v>
      </c>
      <c r="E153" s="27" t="s">
        <v>491</v>
      </c>
      <c r="F153" s="27" t="s">
        <v>333</v>
      </c>
    </row>
    <row r="154" spans="3:6" ht="57.6" customHeight="1" x14ac:dyDescent="0.3">
      <c r="C154" s="29" t="s">
        <v>17</v>
      </c>
      <c r="D154" s="27" t="s">
        <v>492</v>
      </c>
      <c r="E154" s="27" t="s">
        <v>493</v>
      </c>
      <c r="F154" s="27" t="s">
        <v>333</v>
      </c>
    </row>
    <row r="155" spans="3:6" ht="72" customHeight="1" x14ac:dyDescent="0.3">
      <c r="C155" s="29" t="s">
        <v>17</v>
      </c>
      <c r="D155" s="27" t="s">
        <v>494</v>
      </c>
      <c r="E155" s="27" t="s">
        <v>495</v>
      </c>
      <c r="F155" s="27" t="s">
        <v>333</v>
      </c>
    </row>
    <row r="156" spans="3:6" ht="100.95" customHeight="1" x14ac:dyDescent="0.3">
      <c r="C156" s="29" t="s">
        <v>17</v>
      </c>
      <c r="D156" s="27" t="s">
        <v>496</v>
      </c>
      <c r="E156" s="27" t="s">
        <v>497</v>
      </c>
      <c r="F156" s="27" t="s">
        <v>480</v>
      </c>
    </row>
    <row r="157" spans="3:6" x14ac:dyDescent="0.3">
      <c r="C157" s="29" t="s">
        <v>17</v>
      </c>
      <c r="D157" s="27" t="s">
        <v>177</v>
      </c>
      <c r="E157" s="27"/>
      <c r="F157" s="27" t="s">
        <v>333</v>
      </c>
    </row>
    <row r="158" spans="3:6" x14ac:dyDescent="0.3">
      <c r="C158" s="29" t="s">
        <v>17</v>
      </c>
      <c r="D158" s="27" t="s">
        <v>181</v>
      </c>
      <c r="E158" s="27"/>
      <c r="F158" s="27" t="s">
        <v>333</v>
      </c>
    </row>
    <row r="159" spans="3:6" x14ac:dyDescent="0.3">
      <c r="C159" s="29" t="s">
        <v>17</v>
      </c>
      <c r="D159" s="27" t="s">
        <v>183</v>
      </c>
      <c r="E159" s="27"/>
      <c r="F159" s="27" t="s">
        <v>333</v>
      </c>
    </row>
    <row r="160" spans="3:6" x14ac:dyDescent="0.3">
      <c r="C160" s="29" t="s">
        <v>17</v>
      </c>
      <c r="D160" s="27" t="s">
        <v>184</v>
      </c>
      <c r="E160" s="27"/>
      <c r="F160" s="27" t="s">
        <v>480</v>
      </c>
    </row>
    <row r="161" spans="3:6" ht="28.95" customHeight="1" x14ac:dyDescent="0.3">
      <c r="C161" s="29" t="s">
        <v>17</v>
      </c>
      <c r="D161" s="27" t="s">
        <v>185</v>
      </c>
      <c r="E161" s="27"/>
      <c r="F161" s="27" t="s">
        <v>486</v>
      </c>
    </row>
    <row r="162" spans="3:6" ht="28.95" customHeight="1" x14ac:dyDescent="0.3">
      <c r="C162" s="29" t="s">
        <v>17</v>
      </c>
      <c r="D162" s="27" t="s">
        <v>192</v>
      </c>
      <c r="E162" s="27" t="s">
        <v>498</v>
      </c>
      <c r="F162" s="27" t="s">
        <v>499</v>
      </c>
    </row>
    <row r="163" spans="3:6" x14ac:dyDescent="0.3">
      <c r="C163" s="29" t="s">
        <v>17</v>
      </c>
      <c r="D163" s="27" t="s">
        <v>195</v>
      </c>
      <c r="E163" s="27"/>
      <c r="F163" s="27" t="s">
        <v>333</v>
      </c>
    </row>
    <row r="164" spans="3:6" ht="43.2" customHeight="1" x14ac:dyDescent="0.3">
      <c r="C164" s="29" t="s">
        <v>17</v>
      </c>
      <c r="D164" s="27" t="s">
        <v>500</v>
      </c>
      <c r="E164" s="27" t="s">
        <v>501</v>
      </c>
      <c r="F164" s="27" t="s">
        <v>502</v>
      </c>
    </row>
    <row r="165" spans="3:6" ht="43.2" customHeight="1" x14ac:dyDescent="0.3">
      <c r="C165" s="29" t="s">
        <v>17</v>
      </c>
      <c r="D165" s="27" t="s">
        <v>503</v>
      </c>
      <c r="E165" s="27" t="s">
        <v>504</v>
      </c>
      <c r="F165" s="27" t="s">
        <v>502</v>
      </c>
    </row>
    <row r="166" spans="3:6" ht="28.95" customHeight="1" x14ac:dyDescent="0.3">
      <c r="C166" s="29" t="s">
        <v>17</v>
      </c>
      <c r="D166" s="27" t="s">
        <v>505</v>
      </c>
      <c r="E166" s="27" t="s">
        <v>506</v>
      </c>
      <c r="F166" s="27" t="s">
        <v>502</v>
      </c>
    </row>
    <row r="167" spans="3:6" ht="28.95" customHeight="1" x14ac:dyDescent="0.3">
      <c r="C167" s="29" t="s">
        <v>17</v>
      </c>
      <c r="D167" s="27" t="s">
        <v>507</v>
      </c>
      <c r="E167" s="27" t="s">
        <v>508</v>
      </c>
      <c r="F167" s="27" t="s">
        <v>509</v>
      </c>
    </row>
    <row r="168" spans="3:6" ht="28.95" customHeight="1" x14ac:dyDescent="0.3">
      <c r="C168" s="29" t="s">
        <v>17</v>
      </c>
      <c r="D168" s="27" t="s">
        <v>204</v>
      </c>
      <c r="E168" s="27" t="s">
        <v>510</v>
      </c>
      <c r="F168" s="27" t="s">
        <v>509</v>
      </c>
    </row>
    <row r="169" spans="3:6" ht="28.95" customHeight="1" x14ac:dyDescent="0.3">
      <c r="C169" s="29" t="s">
        <v>17</v>
      </c>
      <c r="D169" s="27" t="s">
        <v>511</v>
      </c>
      <c r="E169" s="27" t="s">
        <v>512</v>
      </c>
      <c r="F169" s="27" t="s">
        <v>513</v>
      </c>
    </row>
    <row r="170" spans="3:6" ht="43.2" customHeight="1" x14ac:dyDescent="0.3">
      <c r="C170" s="29" t="s">
        <v>17</v>
      </c>
      <c r="D170" s="27" t="s">
        <v>514</v>
      </c>
      <c r="E170" s="27" t="s">
        <v>515</v>
      </c>
      <c r="F170" s="27" t="s">
        <v>509</v>
      </c>
    </row>
    <row r="171" spans="3:6" ht="43.2" customHeight="1" x14ac:dyDescent="0.3">
      <c r="C171" s="29" t="s">
        <v>17</v>
      </c>
      <c r="D171" s="27" t="s">
        <v>516</v>
      </c>
      <c r="E171" s="27" t="s">
        <v>517</v>
      </c>
      <c r="F171" s="27" t="s">
        <v>509</v>
      </c>
    </row>
    <row r="172" spans="3:6" ht="28.95" customHeight="1" x14ac:dyDescent="0.3">
      <c r="C172" s="29" t="s">
        <v>17</v>
      </c>
      <c r="D172" s="27" t="s">
        <v>518</v>
      </c>
      <c r="E172" s="27" t="s">
        <v>519</v>
      </c>
      <c r="F172" s="27" t="s">
        <v>520</v>
      </c>
    </row>
    <row r="173" spans="3:6" ht="28.95" customHeight="1" x14ac:dyDescent="0.3">
      <c r="C173" s="29" t="s">
        <v>17</v>
      </c>
      <c r="D173" s="27" t="s">
        <v>207</v>
      </c>
      <c r="E173" s="27" t="s">
        <v>521</v>
      </c>
      <c r="F173" s="27" t="s">
        <v>522</v>
      </c>
    </row>
    <row r="174" spans="3:6" ht="43.2" customHeight="1" x14ac:dyDescent="0.3">
      <c r="C174" s="29" t="s">
        <v>17</v>
      </c>
      <c r="D174" s="27" t="s">
        <v>201</v>
      </c>
      <c r="E174" s="27" t="s">
        <v>523</v>
      </c>
      <c r="F174" s="27" t="s">
        <v>522</v>
      </c>
    </row>
    <row r="175" spans="3:6" ht="43.2" customHeight="1" x14ac:dyDescent="0.3">
      <c r="C175" s="29" t="s">
        <v>17</v>
      </c>
      <c r="D175" s="27" t="s">
        <v>205</v>
      </c>
      <c r="E175" s="27" t="s">
        <v>523</v>
      </c>
      <c r="F175" s="27" t="s">
        <v>522</v>
      </c>
    </row>
    <row r="176" spans="3:6" ht="28.95" customHeight="1" x14ac:dyDescent="0.3">
      <c r="C176" s="29" t="s">
        <v>17</v>
      </c>
      <c r="D176" s="27" t="s">
        <v>215</v>
      </c>
      <c r="E176" s="27" t="s">
        <v>524</v>
      </c>
      <c r="F176" s="27" t="s">
        <v>522</v>
      </c>
    </row>
    <row r="177" spans="3:6" ht="43.2" customHeight="1" x14ac:dyDescent="0.3">
      <c r="C177" s="29" t="s">
        <v>17</v>
      </c>
      <c r="D177" s="27" t="s">
        <v>525</v>
      </c>
      <c r="E177" s="27" t="s">
        <v>526</v>
      </c>
      <c r="F177" s="27" t="s">
        <v>522</v>
      </c>
    </row>
    <row r="178" spans="3:6" ht="43.2" customHeight="1" x14ac:dyDescent="0.3">
      <c r="C178" s="29" t="s">
        <v>17</v>
      </c>
      <c r="D178" s="27" t="s">
        <v>202</v>
      </c>
      <c r="E178" s="27" t="s">
        <v>527</v>
      </c>
      <c r="F178" s="27" t="s">
        <v>522</v>
      </c>
    </row>
    <row r="179" spans="3:6" ht="43.2" customHeight="1" x14ac:dyDescent="0.3">
      <c r="C179" s="29" t="s">
        <v>17</v>
      </c>
      <c r="D179" s="27" t="s">
        <v>212</v>
      </c>
      <c r="E179" s="27" t="s">
        <v>528</v>
      </c>
      <c r="F179" s="27" t="s">
        <v>509</v>
      </c>
    </row>
    <row r="180" spans="3:6" ht="28.95" customHeight="1" x14ac:dyDescent="0.3">
      <c r="C180" s="29" t="s">
        <v>17</v>
      </c>
      <c r="D180" s="27" t="s">
        <v>214</v>
      </c>
      <c r="E180" s="27" t="s">
        <v>529</v>
      </c>
      <c r="F180" s="27" t="s">
        <v>509</v>
      </c>
    </row>
    <row r="181" spans="3:6" ht="43.2" customHeight="1" x14ac:dyDescent="0.3">
      <c r="C181" s="29" t="s">
        <v>17</v>
      </c>
      <c r="D181" s="27" t="s">
        <v>206</v>
      </c>
      <c r="E181" s="27" t="s">
        <v>530</v>
      </c>
      <c r="F181" s="27" t="s">
        <v>509</v>
      </c>
    </row>
    <row r="182" spans="3:6" ht="28.95" customHeight="1" x14ac:dyDescent="0.3">
      <c r="C182" s="29" t="s">
        <v>17</v>
      </c>
      <c r="D182" s="27" t="s">
        <v>208</v>
      </c>
      <c r="E182" s="27" t="s">
        <v>521</v>
      </c>
      <c r="F182" s="27" t="s">
        <v>522</v>
      </c>
    </row>
    <row r="183" spans="3:6" ht="28.95" customHeight="1" x14ac:dyDescent="0.3">
      <c r="C183" s="29" t="s">
        <v>17</v>
      </c>
      <c r="D183" s="27" t="s">
        <v>531</v>
      </c>
      <c r="E183" s="27" t="s">
        <v>532</v>
      </c>
      <c r="F183" s="27" t="s">
        <v>509</v>
      </c>
    </row>
    <row r="184" spans="3:6" ht="43.2" customHeight="1" x14ac:dyDescent="0.3">
      <c r="C184" s="29" t="s">
        <v>17</v>
      </c>
      <c r="D184" s="27" t="s">
        <v>533</v>
      </c>
      <c r="E184" s="27" t="s">
        <v>534</v>
      </c>
      <c r="F184" s="27" t="s">
        <v>509</v>
      </c>
    </row>
    <row r="185" spans="3:6" ht="28.95" customHeight="1" x14ac:dyDescent="0.3">
      <c r="C185" s="29" t="s">
        <v>17</v>
      </c>
      <c r="D185" s="27" t="s">
        <v>535</v>
      </c>
      <c r="E185" s="27" t="s">
        <v>536</v>
      </c>
      <c r="F185" s="27" t="s">
        <v>522</v>
      </c>
    </row>
    <row r="186" spans="3:6" ht="28.95" customHeight="1" x14ac:dyDescent="0.3">
      <c r="C186" s="29" t="s">
        <v>17</v>
      </c>
      <c r="D186" s="27" t="s">
        <v>537</v>
      </c>
      <c r="E186" s="27" t="s">
        <v>538</v>
      </c>
      <c r="F186" s="27" t="s">
        <v>509</v>
      </c>
    </row>
    <row r="187" spans="3:6" ht="43.2" customHeight="1" x14ac:dyDescent="0.3">
      <c r="C187" s="29" t="s">
        <v>17</v>
      </c>
      <c r="D187" s="27" t="s">
        <v>539</v>
      </c>
      <c r="E187" s="27" t="s">
        <v>540</v>
      </c>
      <c r="F187" s="27" t="s">
        <v>509</v>
      </c>
    </row>
    <row r="188" spans="3:6" ht="57.6" customHeight="1" x14ac:dyDescent="0.3">
      <c r="C188" s="29" t="s">
        <v>17</v>
      </c>
      <c r="D188" s="27" t="s">
        <v>541</v>
      </c>
      <c r="E188" s="27" t="s">
        <v>542</v>
      </c>
      <c r="F188" s="27" t="s">
        <v>509</v>
      </c>
    </row>
    <row r="189" spans="3:6" ht="28.95" customHeight="1" x14ac:dyDescent="0.3">
      <c r="C189" s="29" t="s">
        <v>17</v>
      </c>
      <c r="D189" s="27" t="s">
        <v>210</v>
      </c>
      <c r="E189" s="27" t="s">
        <v>543</v>
      </c>
      <c r="F189" s="27" t="s">
        <v>444</v>
      </c>
    </row>
    <row r="190" spans="3:6" ht="28.95" customHeight="1" x14ac:dyDescent="0.3">
      <c r="C190" s="29" t="s">
        <v>17</v>
      </c>
      <c r="D190" s="27" t="s">
        <v>213</v>
      </c>
      <c r="E190" s="27" t="s">
        <v>544</v>
      </c>
      <c r="F190" s="27" t="s">
        <v>444</v>
      </c>
    </row>
    <row r="191" spans="3:6" ht="187.2" x14ac:dyDescent="0.3">
      <c r="C191" s="29" t="s">
        <v>17</v>
      </c>
      <c r="D191" s="27" t="s">
        <v>545</v>
      </c>
      <c r="E191" s="27" t="s">
        <v>546</v>
      </c>
      <c r="F191" s="27" t="s">
        <v>547</v>
      </c>
    </row>
    <row r="192" spans="3:6" ht="57.6" x14ac:dyDescent="0.3">
      <c r="C192" s="29" t="s">
        <v>17</v>
      </c>
      <c r="D192" s="27" t="s">
        <v>548</v>
      </c>
      <c r="E192" s="27" t="s">
        <v>549</v>
      </c>
      <c r="F192" s="27" t="s">
        <v>550</v>
      </c>
    </row>
    <row r="193" spans="3:6" ht="86.4" x14ac:dyDescent="0.3">
      <c r="C193" s="29" t="s">
        <v>17</v>
      </c>
      <c r="D193" s="27" t="s">
        <v>551</v>
      </c>
      <c r="E193" s="27" t="s">
        <v>552</v>
      </c>
      <c r="F193" s="27" t="s">
        <v>553</v>
      </c>
    </row>
    <row r="194" spans="3:6" ht="28.8" x14ac:dyDescent="0.3">
      <c r="C194" s="29" t="s">
        <v>17</v>
      </c>
      <c r="D194" s="27" t="s">
        <v>554</v>
      </c>
      <c r="E194" s="27" t="s">
        <v>555</v>
      </c>
      <c r="F194" s="27" t="s">
        <v>556</v>
      </c>
    </row>
    <row r="195" spans="3:6" ht="57.6" x14ac:dyDescent="0.3">
      <c r="C195" s="29" t="s">
        <v>17</v>
      </c>
      <c r="D195" s="27" t="s">
        <v>557</v>
      </c>
      <c r="E195" s="27" t="s">
        <v>558</v>
      </c>
      <c r="F195" s="27" t="s">
        <v>559</v>
      </c>
    </row>
    <row r="196" spans="3:6" ht="57.6" x14ac:dyDescent="0.3">
      <c r="C196" s="29" t="s">
        <v>17</v>
      </c>
      <c r="D196" s="27" t="s">
        <v>560</v>
      </c>
      <c r="E196" s="27" t="s">
        <v>561</v>
      </c>
      <c r="F196" s="27" t="s">
        <v>562</v>
      </c>
    </row>
    <row r="197" spans="3:6" ht="86.4" x14ac:dyDescent="0.3">
      <c r="C197" s="29" t="s">
        <v>17</v>
      </c>
      <c r="D197" s="27" t="s">
        <v>563</v>
      </c>
      <c r="E197" s="27" t="s">
        <v>564</v>
      </c>
      <c r="F197" s="27" t="s">
        <v>565</v>
      </c>
    </row>
    <row r="198" spans="3:6" ht="43.2" x14ac:dyDescent="0.3">
      <c r="C198" s="29" t="s">
        <v>17</v>
      </c>
      <c r="D198" s="27" t="s">
        <v>566</v>
      </c>
      <c r="E198" s="27" t="s">
        <v>567</v>
      </c>
      <c r="F198" s="27" t="s">
        <v>568</v>
      </c>
    </row>
    <row r="199" spans="3:6" ht="43.2" x14ac:dyDescent="0.3">
      <c r="C199" s="29" t="s">
        <v>17</v>
      </c>
      <c r="D199" s="27" t="s">
        <v>569</v>
      </c>
      <c r="E199" s="27" t="s">
        <v>570</v>
      </c>
      <c r="F199" s="27" t="s">
        <v>571</v>
      </c>
    </row>
    <row r="200" spans="3:6" ht="43.2" x14ac:dyDescent="0.3">
      <c r="C200" s="29" t="s">
        <v>17</v>
      </c>
      <c r="D200" s="27" t="s">
        <v>572</v>
      </c>
      <c r="E200" s="27" t="s">
        <v>573</v>
      </c>
      <c r="F200" s="27" t="s">
        <v>574</v>
      </c>
    </row>
    <row r="201" spans="3:6" ht="28.8" x14ac:dyDescent="0.3">
      <c r="C201" s="29" t="s">
        <v>17</v>
      </c>
      <c r="D201" s="27" t="s">
        <v>575</v>
      </c>
      <c r="E201" s="27" t="s">
        <v>576</v>
      </c>
      <c r="F201" s="27" t="s">
        <v>577</v>
      </c>
    </row>
    <row r="202" spans="3:6" ht="43.2" x14ac:dyDescent="0.3">
      <c r="C202" s="29" t="s">
        <v>17</v>
      </c>
      <c r="D202" s="27" t="s">
        <v>578</v>
      </c>
      <c r="E202" s="27" t="s">
        <v>579</v>
      </c>
      <c r="F202" s="27" t="s">
        <v>580</v>
      </c>
    </row>
    <row r="203" spans="3:6" ht="43.2" x14ac:dyDescent="0.3">
      <c r="C203" s="29" t="s">
        <v>17</v>
      </c>
      <c r="D203" s="27" t="s">
        <v>581</v>
      </c>
      <c r="E203" s="27" t="s">
        <v>582</v>
      </c>
      <c r="F203" s="27" t="s">
        <v>583</v>
      </c>
    </row>
    <row r="204" spans="3:6" ht="28.8" x14ac:dyDescent="0.3">
      <c r="C204" s="29" t="s">
        <v>17</v>
      </c>
      <c r="D204" s="27" t="s">
        <v>584</v>
      </c>
      <c r="E204" s="27" t="s">
        <v>585</v>
      </c>
      <c r="F204" s="27" t="s">
        <v>586</v>
      </c>
    </row>
    <row r="205" spans="3:6" ht="28.8" x14ac:dyDescent="0.3">
      <c r="C205" s="29" t="s">
        <v>17</v>
      </c>
      <c r="D205" s="27" t="s">
        <v>587</v>
      </c>
      <c r="E205" s="27" t="s">
        <v>588</v>
      </c>
      <c r="F205" s="27" t="s">
        <v>589</v>
      </c>
    </row>
    <row r="206" spans="3:6" ht="28.8" x14ac:dyDescent="0.3">
      <c r="C206" s="29" t="s">
        <v>17</v>
      </c>
      <c r="D206" s="27" t="s">
        <v>590</v>
      </c>
      <c r="E206" s="27" t="s">
        <v>591</v>
      </c>
      <c r="F206" s="27" t="s">
        <v>592</v>
      </c>
    </row>
    <row r="207" spans="3:6" ht="28.8" x14ac:dyDescent="0.3">
      <c r="C207" s="29" t="s">
        <v>17</v>
      </c>
      <c r="D207" s="27" t="s">
        <v>593</v>
      </c>
      <c r="E207" s="27" t="s">
        <v>594</v>
      </c>
      <c r="F207" s="27" t="s">
        <v>595</v>
      </c>
    </row>
    <row r="208" spans="3:6" ht="57.6" x14ac:dyDescent="0.3">
      <c r="C208" s="29" t="s">
        <v>17</v>
      </c>
      <c r="D208" s="27" t="s">
        <v>596</v>
      </c>
      <c r="E208" s="27" t="s">
        <v>597</v>
      </c>
      <c r="F208" s="27" t="s">
        <v>598</v>
      </c>
    </row>
    <row r="209" spans="3:6" ht="28.8" x14ac:dyDescent="0.3">
      <c r="C209" s="29" t="s">
        <v>17</v>
      </c>
      <c r="D209" s="27" t="s">
        <v>599</v>
      </c>
      <c r="E209" s="27" t="s">
        <v>600</v>
      </c>
      <c r="F209" s="27" t="s">
        <v>601</v>
      </c>
    </row>
    <row r="210" spans="3:6" x14ac:dyDescent="0.3">
      <c r="C210" s="29"/>
      <c r="D210" s="27"/>
      <c r="E210" s="27"/>
      <c r="F210" s="27"/>
    </row>
    <row r="211" spans="3:6" x14ac:dyDescent="0.3">
      <c r="C211" s="29"/>
      <c r="D211" s="27"/>
      <c r="E211" s="27"/>
      <c r="F211" s="27"/>
    </row>
    <row r="212" spans="3:6" x14ac:dyDescent="0.3">
      <c r="C212" s="29"/>
      <c r="D212" s="27"/>
      <c r="E212" s="27"/>
      <c r="F212" s="27"/>
    </row>
    <row r="213" spans="3:6" x14ac:dyDescent="0.3">
      <c r="C213" s="29"/>
      <c r="D213" s="27"/>
      <c r="E213" s="27"/>
      <c r="F213" s="27"/>
    </row>
    <row r="214" spans="3:6" x14ac:dyDescent="0.3">
      <c r="C214" s="29"/>
      <c r="D214" s="27"/>
      <c r="E214" s="27"/>
      <c r="F214" s="27"/>
    </row>
    <row r="215" spans="3:6" x14ac:dyDescent="0.3">
      <c r="C215" s="29"/>
      <c r="D215" s="27"/>
      <c r="E215" s="27"/>
      <c r="F215" s="27"/>
    </row>
    <row r="216" spans="3:6" x14ac:dyDescent="0.3">
      <c r="C216" s="29"/>
      <c r="D216" s="27"/>
      <c r="E216" s="27"/>
      <c r="F216" s="27"/>
    </row>
    <row r="217" spans="3:6" x14ac:dyDescent="0.3">
      <c r="C217" s="29"/>
      <c r="D217" s="27"/>
      <c r="E217" s="27"/>
      <c r="F217" s="27"/>
    </row>
    <row r="218" spans="3:6" x14ac:dyDescent="0.3">
      <c r="C218" s="29"/>
      <c r="D218" s="27"/>
      <c r="E218" s="27"/>
      <c r="F218" s="27"/>
    </row>
    <row r="219" spans="3:6" x14ac:dyDescent="0.3">
      <c r="C219" s="29"/>
      <c r="D219" s="27"/>
      <c r="E219" s="27"/>
      <c r="F219" s="27"/>
    </row>
    <row r="220" spans="3:6" x14ac:dyDescent="0.3">
      <c r="C220" s="29"/>
      <c r="D220" s="27"/>
      <c r="E220" s="27"/>
      <c r="F220" s="27"/>
    </row>
    <row r="221" spans="3:6" x14ac:dyDescent="0.3">
      <c r="C221" s="29"/>
      <c r="D221" s="27"/>
      <c r="E221" s="27"/>
      <c r="F221" s="27"/>
    </row>
    <row r="222" spans="3:6" x14ac:dyDescent="0.3">
      <c r="C222" s="29"/>
      <c r="D222" s="27"/>
      <c r="E222" s="27"/>
      <c r="F222" s="27"/>
    </row>
    <row r="223" spans="3:6" x14ac:dyDescent="0.3">
      <c r="C223" s="29"/>
      <c r="D223" s="27"/>
      <c r="E223" s="27"/>
      <c r="F223" s="27"/>
    </row>
    <row r="224" spans="3:6" x14ac:dyDescent="0.3">
      <c r="C224" s="29"/>
      <c r="D224" s="27"/>
      <c r="E224" s="27"/>
      <c r="F224" s="27"/>
    </row>
    <row r="225" spans="3:6" x14ac:dyDescent="0.3">
      <c r="C225" s="29"/>
      <c r="D225" s="27"/>
      <c r="E225" s="27"/>
      <c r="F225" s="27"/>
    </row>
    <row r="226" spans="3:6" x14ac:dyDescent="0.3">
      <c r="C226" s="29"/>
      <c r="D226" s="27"/>
      <c r="E226" s="27"/>
      <c r="F226" s="27"/>
    </row>
    <row r="227" spans="3:6" x14ac:dyDescent="0.3">
      <c r="C227" s="29"/>
      <c r="D227" s="27"/>
      <c r="E227" s="27"/>
      <c r="F227" s="27"/>
    </row>
    <row r="228" spans="3:6" x14ac:dyDescent="0.3">
      <c r="C228" s="29"/>
      <c r="D228" s="27"/>
      <c r="E228" s="27"/>
      <c r="F228" s="27"/>
    </row>
    <row r="229" spans="3:6" x14ac:dyDescent="0.3">
      <c r="C229" s="29"/>
      <c r="D229" s="27"/>
      <c r="E229" s="27"/>
      <c r="F229" s="27"/>
    </row>
    <row r="230" spans="3:6" x14ac:dyDescent="0.3">
      <c r="C230" s="29"/>
      <c r="D230" s="27"/>
      <c r="E230" s="27"/>
      <c r="F230" s="27"/>
    </row>
    <row r="231" spans="3:6" x14ac:dyDescent="0.3">
      <c r="C231" s="29"/>
      <c r="D231" s="27"/>
      <c r="E231" s="27"/>
      <c r="F231" s="27"/>
    </row>
    <row r="232" spans="3:6" x14ac:dyDescent="0.3">
      <c r="C232" s="29"/>
      <c r="D232" s="27"/>
      <c r="E232" s="27"/>
      <c r="F232" s="27"/>
    </row>
    <row r="233" spans="3:6" x14ac:dyDescent="0.3">
      <c r="C233" s="29"/>
      <c r="D233" s="27"/>
      <c r="E233" s="27"/>
      <c r="F233" s="27"/>
    </row>
    <row r="234" spans="3:6" x14ac:dyDescent="0.3">
      <c r="C234" s="29"/>
      <c r="D234" s="27"/>
      <c r="E234" s="27"/>
      <c r="F234" s="27"/>
    </row>
    <row r="235" spans="3:6" x14ac:dyDescent="0.3">
      <c r="C235" s="29"/>
      <c r="D235" s="27"/>
      <c r="E235" s="27"/>
      <c r="F235" s="27"/>
    </row>
    <row r="236" spans="3:6" x14ac:dyDescent="0.3">
      <c r="C236" s="29"/>
      <c r="D236" s="27"/>
      <c r="E236" s="27"/>
      <c r="F236" s="27"/>
    </row>
    <row r="237" spans="3:6" x14ac:dyDescent="0.3">
      <c r="C237" s="29"/>
      <c r="D237" s="27"/>
      <c r="E237" s="27"/>
      <c r="F237" s="27"/>
    </row>
    <row r="238" spans="3:6" x14ac:dyDescent="0.3">
      <c r="C238" s="29"/>
      <c r="D238" s="27"/>
      <c r="E238" s="27"/>
      <c r="F238" s="27"/>
    </row>
    <row r="239" spans="3:6" x14ac:dyDescent="0.3">
      <c r="C239" s="29"/>
      <c r="D239" s="27"/>
      <c r="E239" s="27"/>
      <c r="F239" s="27"/>
    </row>
    <row r="240" spans="3:6" x14ac:dyDescent="0.3">
      <c r="C240" s="29"/>
      <c r="D240" s="27"/>
      <c r="E240" s="27"/>
      <c r="F240" s="27"/>
    </row>
    <row r="241" spans="3:6" x14ac:dyDescent="0.3">
      <c r="C241" s="29"/>
      <c r="D241" s="27"/>
      <c r="E241" s="27"/>
      <c r="F241" s="27"/>
    </row>
    <row r="242" spans="3:6" x14ac:dyDescent="0.3">
      <c r="C242" s="29"/>
      <c r="D242" s="27"/>
      <c r="E242" s="27"/>
      <c r="F242" s="27"/>
    </row>
    <row r="243" spans="3:6" x14ac:dyDescent="0.3">
      <c r="C243" s="29"/>
      <c r="D243" s="27"/>
      <c r="E243" s="27"/>
      <c r="F243" s="27"/>
    </row>
    <row r="244" spans="3:6" x14ac:dyDescent="0.3">
      <c r="C244" s="29"/>
      <c r="D244" s="27"/>
      <c r="E244" s="27"/>
      <c r="F244" s="27"/>
    </row>
    <row r="245" spans="3:6" x14ac:dyDescent="0.3">
      <c r="C245" s="29"/>
      <c r="D245" s="27"/>
      <c r="E245" s="27"/>
      <c r="F245" s="27"/>
    </row>
    <row r="246" spans="3:6" x14ac:dyDescent="0.3">
      <c r="C246" s="29"/>
      <c r="D246" s="27"/>
      <c r="E246" s="27"/>
      <c r="F246" s="27"/>
    </row>
    <row r="247" spans="3:6" x14ac:dyDescent="0.3">
      <c r="C247" s="29"/>
      <c r="D247" s="27"/>
      <c r="E247" s="27"/>
      <c r="F247" s="27"/>
    </row>
    <row r="248" spans="3:6" x14ac:dyDescent="0.3">
      <c r="C248" s="29"/>
      <c r="D248" s="27"/>
      <c r="E248" s="27"/>
      <c r="F248" s="27"/>
    </row>
    <row r="249" spans="3:6" x14ac:dyDescent="0.3">
      <c r="C249" s="29"/>
      <c r="D249" s="27"/>
      <c r="E249" s="27"/>
      <c r="F249" s="27"/>
    </row>
    <row r="250" spans="3:6" x14ac:dyDescent="0.3">
      <c r="C250" s="29"/>
      <c r="D250" s="27"/>
      <c r="E250" s="27"/>
      <c r="F250" s="27"/>
    </row>
    <row r="251" spans="3:6" x14ac:dyDescent="0.3">
      <c r="C251" s="29"/>
      <c r="D251" s="27"/>
      <c r="E251" s="27"/>
      <c r="F251" s="27"/>
    </row>
    <row r="252" spans="3:6" x14ac:dyDescent="0.3">
      <c r="C252" s="29"/>
      <c r="D252" s="27"/>
      <c r="E252" s="27"/>
      <c r="F252" s="27"/>
    </row>
    <row r="253" spans="3:6" x14ac:dyDescent="0.3">
      <c r="C253" s="29"/>
      <c r="D253" s="27"/>
      <c r="E253" s="27"/>
      <c r="F253" s="27"/>
    </row>
    <row r="254" spans="3:6" x14ac:dyDescent="0.3">
      <c r="C254" s="29"/>
      <c r="D254" s="27"/>
      <c r="E254" s="27"/>
      <c r="F254" s="27"/>
    </row>
    <row r="255" spans="3:6" x14ac:dyDescent="0.3">
      <c r="C255" s="29"/>
      <c r="D255" s="27"/>
      <c r="E255" s="27"/>
      <c r="F255" s="27"/>
    </row>
    <row r="256" spans="3:6" x14ac:dyDescent="0.3">
      <c r="C256" s="29"/>
      <c r="D256" s="27"/>
      <c r="E256" s="27"/>
      <c r="F256" s="27"/>
    </row>
    <row r="257" spans="3:6" x14ac:dyDescent="0.3">
      <c r="C257" s="29"/>
      <c r="D257" s="27"/>
      <c r="E257" s="27"/>
      <c r="F257" s="27"/>
    </row>
    <row r="258" spans="3:6" x14ac:dyDescent="0.3">
      <c r="C258" s="29"/>
      <c r="D258" s="27"/>
      <c r="E258" s="27"/>
      <c r="F258" s="27"/>
    </row>
    <row r="259" spans="3:6" x14ac:dyDescent="0.3">
      <c r="C259" s="29"/>
      <c r="D259" s="27"/>
      <c r="E259" s="27"/>
      <c r="F259" s="27"/>
    </row>
    <row r="260" spans="3:6" x14ac:dyDescent="0.3">
      <c r="C260" s="29"/>
      <c r="D260" s="27"/>
      <c r="E260" s="27"/>
      <c r="F260" s="27"/>
    </row>
    <row r="261" spans="3:6" x14ac:dyDescent="0.3">
      <c r="C261" s="29"/>
      <c r="D261" s="27"/>
      <c r="E261" s="27"/>
      <c r="F261" s="27"/>
    </row>
    <row r="262" spans="3:6" x14ac:dyDescent="0.3">
      <c r="C262" s="29"/>
      <c r="D262" s="27"/>
      <c r="E262" s="27"/>
      <c r="F262" s="27"/>
    </row>
    <row r="263" spans="3:6" x14ac:dyDescent="0.3">
      <c r="C263" s="29"/>
      <c r="D263" s="27"/>
      <c r="E263" s="27"/>
      <c r="F263" s="27"/>
    </row>
    <row r="264" spans="3:6" x14ac:dyDescent="0.3">
      <c r="C264" s="29"/>
      <c r="D264" s="27"/>
      <c r="E264" s="27"/>
      <c r="F264" s="27"/>
    </row>
    <row r="265" spans="3:6" x14ac:dyDescent="0.3">
      <c r="C265" s="29"/>
      <c r="D265" s="27"/>
      <c r="E265" s="27"/>
      <c r="F265" s="27"/>
    </row>
    <row r="266" spans="3:6" x14ac:dyDescent="0.3">
      <c r="C266" s="29"/>
      <c r="D266" s="27"/>
      <c r="E266" s="27"/>
      <c r="F266" s="27"/>
    </row>
    <row r="267" spans="3:6" x14ac:dyDescent="0.3">
      <c r="C267" s="29"/>
      <c r="D267" s="27"/>
      <c r="E267" s="27"/>
      <c r="F267" s="27"/>
    </row>
    <row r="268" spans="3:6" x14ac:dyDescent="0.3">
      <c r="C268" s="29"/>
      <c r="D268" s="27"/>
      <c r="E268" s="27"/>
      <c r="F268" s="27"/>
    </row>
    <row r="269" spans="3:6" x14ac:dyDescent="0.3">
      <c r="C269" s="29"/>
      <c r="D269" s="27"/>
      <c r="E269" s="27"/>
      <c r="F269" s="27"/>
    </row>
    <row r="270" spans="3:6" x14ac:dyDescent="0.3">
      <c r="C270" s="29"/>
      <c r="D270" s="27"/>
      <c r="E270" s="27"/>
      <c r="F270" s="27"/>
    </row>
    <row r="271" spans="3:6" x14ac:dyDescent="0.3">
      <c r="C271" s="29"/>
      <c r="D271" s="27"/>
      <c r="E271" s="27"/>
      <c r="F271" s="27"/>
    </row>
    <row r="272" spans="3:6" x14ac:dyDescent="0.3">
      <c r="C272" s="29"/>
      <c r="D272" s="27"/>
      <c r="E272" s="27"/>
      <c r="F272" s="27"/>
    </row>
    <row r="273" spans="3:6" x14ac:dyDescent="0.3">
      <c r="C273" s="29"/>
      <c r="D273" s="27"/>
      <c r="E273" s="27"/>
      <c r="F273" s="27"/>
    </row>
    <row r="274" spans="3:6" x14ac:dyDescent="0.3">
      <c r="C274" s="29"/>
      <c r="D274" s="27"/>
      <c r="E274" s="27"/>
      <c r="F274" s="27"/>
    </row>
    <row r="275" spans="3:6" x14ac:dyDescent="0.3">
      <c r="C275" s="29"/>
      <c r="D275" s="27"/>
      <c r="E275" s="27"/>
      <c r="F275" s="27"/>
    </row>
    <row r="276" spans="3:6" x14ac:dyDescent="0.3">
      <c r="C276" s="29"/>
      <c r="D276" s="27"/>
      <c r="E276" s="27"/>
      <c r="F276" s="27"/>
    </row>
    <row r="277" spans="3:6" x14ac:dyDescent="0.3">
      <c r="C277" s="29"/>
      <c r="D277" s="27"/>
      <c r="E277" s="27"/>
      <c r="F277" s="27"/>
    </row>
    <row r="278" spans="3:6" x14ac:dyDescent="0.3">
      <c r="C278" s="29"/>
      <c r="D278" s="27"/>
      <c r="E278" s="27"/>
      <c r="F278" s="27"/>
    </row>
    <row r="279" spans="3:6" x14ac:dyDescent="0.3">
      <c r="C279" s="29"/>
      <c r="D279" s="27"/>
      <c r="E279" s="27"/>
      <c r="F279" s="27"/>
    </row>
    <row r="280" spans="3:6" x14ac:dyDescent="0.3">
      <c r="C280" s="29"/>
      <c r="D280" s="27"/>
      <c r="E280" s="27"/>
      <c r="F280" s="27"/>
    </row>
    <row r="281" spans="3:6" x14ac:dyDescent="0.3">
      <c r="C281" s="29"/>
      <c r="D281" s="27"/>
      <c r="E281" s="27"/>
      <c r="F281" s="27"/>
    </row>
    <row r="282" spans="3:6" x14ac:dyDescent="0.3">
      <c r="C282" s="29"/>
      <c r="D282" s="27"/>
      <c r="E282" s="27"/>
      <c r="F282" s="27"/>
    </row>
    <row r="283" spans="3:6" x14ac:dyDescent="0.3">
      <c r="C283" s="29"/>
      <c r="D283" s="27"/>
      <c r="E283" s="27"/>
      <c r="F283" s="27"/>
    </row>
    <row r="284" spans="3:6" x14ac:dyDescent="0.3">
      <c r="C284" s="29"/>
      <c r="D284" s="27"/>
      <c r="E284" s="27"/>
      <c r="F284" s="27"/>
    </row>
    <row r="285" spans="3:6" x14ac:dyDescent="0.3">
      <c r="C285" s="29"/>
      <c r="D285" s="27"/>
      <c r="E285" s="27"/>
      <c r="F285" s="27"/>
    </row>
    <row r="286" spans="3:6" x14ac:dyDescent="0.3">
      <c r="C286" s="29"/>
      <c r="D286" s="27"/>
      <c r="E286" s="27"/>
      <c r="F286" s="27"/>
    </row>
    <row r="287" spans="3:6" x14ac:dyDescent="0.3">
      <c r="C287" s="29"/>
      <c r="D287" s="27"/>
      <c r="E287" s="27"/>
      <c r="F287" s="27"/>
    </row>
    <row r="288" spans="3:6" x14ac:dyDescent="0.3">
      <c r="C288" s="29"/>
      <c r="D288" s="27"/>
      <c r="E288" s="27"/>
      <c r="F288" s="27"/>
    </row>
    <row r="289" spans="3:6" x14ac:dyDescent="0.3">
      <c r="C289" s="29"/>
      <c r="D289" s="27"/>
      <c r="E289" s="27"/>
      <c r="F289" s="27"/>
    </row>
    <row r="290" spans="3:6" x14ac:dyDescent="0.3">
      <c r="C290" s="29"/>
      <c r="D290" s="27"/>
      <c r="E290" s="27"/>
      <c r="F290" s="27"/>
    </row>
    <row r="291" spans="3:6" x14ac:dyDescent="0.3">
      <c r="C291" s="29"/>
      <c r="D291" s="27"/>
      <c r="E291" s="27"/>
      <c r="F291" s="27"/>
    </row>
    <row r="292" spans="3:6" x14ac:dyDescent="0.3">
      <c r="C292" s="29"/>
      <c r="D292" s="27"/>
      <c r="E292" s="27"/>
      <c r="F292" s="27"/>
    </row>
    <row r="293" spans="3:6" x14ac:dyDescent="0.3">
      <c r="C293" s="29"/>
      <c r="D293" s="27"/>
      <c r="E293" s="27"/>
      <c r="F293" s="27"/>
    </row>
    <row r="294" spans="3:6" x14ac:dyDescent="0.3">
      <c r="C294" s="29"/>
      <c r="D294" s="27"/>
      <c r="E294" s="27"/>
      <c r="F294" s="27"/>
    </row>
    <row r="295" spans="3:6" x14ac:dyDescent="0.3">
      <c r="C295" s="29"/>
      <c r="D295" s="27"/>
      <c r="E295" s="27"/>
      <c r="F295" s="27"/>
    </row>
    <row r="296" spans="3:6" x14ac:dyDescent="0.3">
      <c r="C296" s="29"/>
      <c r="D296" s="27"/>
      <c r="E296" s="27"/>
      <c r="F296" s="27"/>
    </row>
    <row r="297" spans="3:6" x14ac:dyDescent="0.3">
      <c r="C297" s="29"/>
      <c r="D297" s="27"/>
      <c r="E297" s="27"/>
      <c r="F297" s="27"/>
    </row>
    <row r="298" spans="3:6" x14ac:dyDescent="0.3">
      <c r="C298" s="29"/>
      <c r="D298" s="27"/>
      <c r="E298" s="27"/>
      <c r="F298" s="27"/>
    </row>
    <row r="299" spans="3:6" x14ac:dyDescent="0.3">
      <c r="C299" s="29"/>
      <c r="D299" s="27"/>
      <c r="E299" s="27"/>
      <c r="F299" s="27"/>
    </row>
    <row r="300" spans="3:6" x14ac:dyDescent="0.3">
      <c r="C300" s="29"/>
      <c r="D300" s="27"/>
      <c r="E300" s="27"/>
      <c r="F300" s="27"/>
    </row>
    <row r="301" spans="3:6" x14ac:dyDescent="0.3">
      <c r="C301" s="29"/>
      <c r="D301" s="27"/>
      <c r="E301" s="27"/>
      <c r="F301" s="27"/>
    </row>
    <row r="302" spans="3:6" x14ac:dyDescent="0.3">
      <c r="C302" s="29"/>
      <c r="D302" s="27"/>
      <c r="E302" s="27"/>
      <c r="F302" s="27"/>
    </row>
    <row r="303" spans="3:6" x14ac:dyDescent="0.3">
      <c r="C303" s="29"/>
      <c r="D303" s="27"/>
      <c r="E303" s="27"/>
      <c r="F303" s="27"/>
    </row>
    <row r="304" spans="3:6" x14ac:dyDescent="0.3">
      <c r="C304" s="29"/>
      <c r="D304" s="27"/>
      <c r="E304" s="27"/>
      <c r="F304" s="27"/>
    </row>
    <row r="305" spans="3:6" x14ac:dyDescent="0.3">
      <c r="C305" s="29"/>
      <c r="D305" s="27"/>
      <c r="E305" s="27"/>
      <c r="F305" s="27"/>
    </row>
    <row r="306" spans="3:6" x14ac:dyDescent="0.3">
      <c r="C306" s="29"/>
      <c r="D306" s="27"/>
      <c r="E306" s="27"/>
      <c r="F306" s="27"/>
    </row>
    <row r="307" spans="3:6" x14ac:dyDescent="0.3">
      <c r="C307" s="29"/>
      <c r="D307" s="27"/>
      <c r="E307" s="27"/>
      <c r="F307" s="27"/>
    </row>
    <row r="308" spans="3:6" x14ac:dyDescent="0.3">
      <c r="C308" s="29"/>
      <c r="D308" s="27"/>
      <c r="E308" s="27"/>
      <c r="F308" s="27"/>
    </row>
    <row r="309" spans="3:6" x14ac:dyDescent="0.3">
      <c r="C309" s="29"/>
      <c r="D309" s="27"/>
      <c r="E309" s="27"/>
      <c r="F309" s="27"/>
    </row>
    <row r="310" spans="3:6" x14ac:dyDescent="0.3">
      <c r="C310" s="29"/>
      <c r="D310" s="27"/>
      <c r="E310" s="27"/>
      <c r="F310" s="27"/>
    </row>
    <row r="311" spans="3:6" x14ac:dyDescent="0.3">
      <c r="C311" s="29"/>
      <c r="D311" s="27"/>
      <c r="E311" s="27"/>
      <c r="F311" s="27"/>
    </row>
    <row r="312" spans="3:6" x14ac:dyDescent="0.3">
      <c r="C312" s="29"/>
      <c r="D312" s="27"/>
      <c r="E312" s="27"/>
      <c r="F312" s="27"/>
    </row>
    <row r="313" spans="3:6" x14ac:dyDescent="0.3">
      <c r="C313" s="29"/>
      <c r="D313" s="27"/>
      <c r="E313" s="27"/>
      <c r="F313" s="27"/>
    </row>
    <row r="314" spans="3:6" x14ac:dyDescent="0.3">
      <c r="C314" s="29"/>
      <c r="D314" s="27"/>
      <c r="E314" s="27"/>
      <c r="F314" s="27"/>
    </row>
    <row r="315" spans="3:6" x14ac:dyDescent="0.3">
      <c r="C315" s="29"/>
      <c r="D315" s="27"/>
      <c r="E315" s="27"/>
      <c r="F315" s="27"/>
    </row>
    <row r="316" spans="3:6" x14ac:dyDescent="0.3">
      <c r="C316" s="29"/>
      <c r="D316" s="27"/>
      <c r="E316" s="27"/>
      <c r="F316" s="27"/>
    </row>
    <row r="317" spans="3:6" x14ac:dyDescent="0.3">
      <c r="C317" s="29"/>
      <c r="D317" s="27"/>
      <c r="E317" s="27"/>
      <c r="F317" s="27"/>
    </row>
    <row r="318" spans="3:6" x14ac:dyDescent="0.3">
      <c r="C318" s="29"/>
      <c r="D318" s="27"/>
      <c r="E318" s="27"/>
      <c r="F318" s="27"/>
    </row>
    <row r="319" spans="3:6" x14ac:dyDescent="0.3">
      <c r="C319" s="29"/>
      <c r="D319" s="27"/>
      <c r="E319" s="27"/>
      <c r="F319" s="27"/>
    </row>
    <row r="320" spans="3:6" x14ac:dyDescent="0.3">
      <c r="C320" s="29"/>
      <c r="D320" s="27"/>
      <c r="E320" s="27"/>
      <c r="F320" s="27"/>
    </row>
    <row r="321" spans="3:6" x14ac:dyDescent="0.3">
      <c r="C321" s="29"/>
      <c r="D321" s="27"/>
      <c r="E321" s="27"/>
      <c r="F321" s="27"/>
    </row>
    <row r="322" spans="3:6" x14ac:dyDescent="0.3">
      <c r="C322" s="29"/>
      <c r="D322" s="27"/>
      <c r="E322" s="27"/>
      <c r="F322" s="27"/>
    </row>
    <row r="323" spans="3:6" x14ac:dyDescent="0.3">
      <c r="C323" s="29"/>
      <c r="D323" s="27"/>
      <c r="E323" s="27"/>
      <c r="F323" s="27"/>
    </row>
    <row r="324" spans="3:6" x14ac:dyDescent="0.3">
      <c r="C324" s="29"/>
      <c r="D324" s="27"/>
      <c r="E324" s="27"/>
      <c r="F324" s="27"/>
    </row>
    <row r="325" spans="3:6" x14ac:dyDescent="0.3">
      <c r="C325" s="29"/>
      <c r="D325" s="27"/>
      <c r="E325" s="27"/>
      <c r="F325" s="27"/>
    </row>
    <row r="326" spans="3:6" x14ac:dyDescent="0.3">
      <c r="C326" s="29"/>
      <c r="D326" s="27"/>
      <c r="E326" s="27"/>
      <c r="F326" s="27"/>
    </row>
    <row r="327" spans="3:6" x14ac:dyDescent="0.3">
      <c r="C327" s="29"/>
      <c r="D327" s="27"/>
      <c r="E327" s="27"/>
      <c r="F327" s="27"/>
    </row>
    <row r="328" spans="3:6" x14ac:dyDescent="0.3">
      <c r="C328" s="29"/>
      <c r="D328" s="27"/>
      <c r="E328" s="27"/>
      <c r="F328" s="27"/>
    </row>
    <row r="329" spans="3:6" x14ac:dyDescent="0.3">
      <c r="C329" s="29"/>
      <c r="D329" s="27"/>
      <c r="E329" s="27"/>
      <c r="F329" s="27"/>
    </row>
  </sheetData>
  <autoFilter ref="C5:H209"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Q48"/>
  <sheetViews>
    <sheetView showGridLines="0" workbookViewId="0">
      <selection activeCell="F3" sqref="F3"/>
    </sheetView>
  </sheetViews>
  <sheetFormatPr baseColWidth="10" defaultColWidth="11.44140625" defaultRowHeight="14.4" x14ac:dyDescent="0.3"/>
  <cols>
    <col min="2" max="2" width="36.88671875" style="2" bestFit="1" customWidth="1"/>
    <col min="3" max="3" width="13.88671875" style="2" bestFit="1" customWidth="1"/>
    <col min="4" max="5" width="11.6640625" bestFit="1" customWidth="1"/>
    <col min="6" max="6" width="12.6640625" bestFit="1" customWidth="1"/>
    <col min="7" max="7" width="14.44140625" bestFit="1" customWidth="1"/>
    <col min="8" max="8" width="3.33203125" bestFit="1" customWidth="1"/>
    <col min="9" max="9" width="13.88671875" bestFit="1" customWidth="1"/>
    <col min="10" max="10" width="10" bestFit="1" customWidth="1"/>
  </cols>
  <sheetData>
    <row r="2" spans="2:17" x14ac:dyDescent="0.3">
      <c r="C2" s="2" t="s">
        <v>602</v>
      </c>
      <c r="D2" t="s">
        <v>603</v>
      </c>
      <c r="G2" t="s">
        <v>604</v>
      </c>
      <c r="H2" t="s">
        <v>605</v>
      </c>
      <c r="I2" s="2" t="s">
        <v>602</v>
      </c>
      <c r="J2" t="s">
        <v>603</v>
      </c>
    </row>
    <row r="3" spans="2:17" x14ac:dyDescent="0.3">
      <c r="C3" s="2" t="s">
        <v>606</v>
      </c>
      <c r="D3" t="s">
        <v>606</v>
      </c>
      <c r="E3" t="s">
        <v>606</v>
      </c>
      <c r="F3" t="s">
        <v>607</v>
      </c>
      <c r="G3" t="s">
        <v>606</v>
      </c>
      <c r="I3" t="s">
        <v>606</v>
      </c>
    </row>
    <row r="4" spans="2:17" x14ac:dyDescent="0.3">
      <c r="B4" s="25" t="s">
        <v>7</v>
      </c>
      <c r="C4" s="25" t="s">
        <v>608</v>
      </c>
      <c r="D4" s="25" t="s">
        <v>609</v>
      </c>
      <c r="E4" s="25" t="s">
        <v>610</v>
      </c>
      <c r="F4" s="25" t="s">
        <v>611</v>
      </c>
      <c r="G4" s="25" t="s">
        <v>612</v>
      </c>
    </row>
    <row r="5" spans="2:17" ht="28.95" customHeight="1" x14ac:dyDescent="0.3">
      <c r="B5" s="34" t="s">
        <v>24</v>
      </c>
      <c r="C5" s="35" t="s">
        <v>613</v>
      </c>
      <c r="D5" s="36" t="s">
        <v>614</v>
      </c>
      <c r="E5" s="36" t="s">
        <v>615</v>
      </c>
      <c r="F5" s="24" t="s">
        <v>616</v>
      </c>
      <c r="G5" s="24"/>
      <c r="P5" t="s">
        <v>617</v>
      </c>
      <c r="Q5" t="s">
        <v>618</v>
      </c>
    </row>
    <row r="6" spans="2:17" x14ac:dyDescent="0.3">
      <c r="B6" s="16"/>
      <c r="C6" s="22" t="s">
        <v>619</v>
      </c>
      <c r="D6" s="24"/>
      <c r="E6" s="36" t="s">
        <v>620</v>
      </c>
      <c r="F6" s="24" t="s">
        <v>621</v>
      </c>
      <c r="G6" s="24"/>
      <c r="P6" t="s">
        <v>622</v>
      </c>
      <c r="Q6" t="s">
        <v>623</v>
      </c>
    </row>
    <row r="7" spans="2:17" x14ac:dyDescent="0.3">
      <c r="B7" s="22"/>
      <c r="C7" s="22" t="s">
        <v>624</v>
      </c>
      <c r="D7" s="24"/>
      <c r="E7" s="24"/>
      <c r="F7" s="24" t="s">
        <v>625</v>
      </c>
      <c r="G7" s="24"/>
      <c r="P7" t="s">
        <v>626</v>
      </c>
      <c r="Q7" t="s">
        <v>627</v>
      </c>
    </row>
    <row r="8" spans="2:17" ht="28.95" customHeight="1" x14ac:dyDescent="0.3">
      <c r="B8" s="29" t="s">
        <v>52</v>
      </c>
      <c r="C8" s="22"/>
      <c r="D8" s="24"/>
      <c r="E8" s="24"/>
      <c r="F8" s="24"/>
      <c r="G8" s="24" t="s">
        <v>628</v>
      </c>
      <c r="I8" t="s">
        <v>629</v>
      </c>
      <c r="P8" t="s">
        <v>630</v>
      </c>
      <c r="Q8" t="s">
        <v>631</v>
      </c>
    </row>
    <row r="9" spans="2:17" x14ac:dyDescent="0.3">
      <c r="B9" s="22"/>
      <c r="C9" s="22"/>
      <c r="D9" s="24"/>
      <c r="E9" s="24"/>
      <c r="F9" s="24"/>
      <c r="G9" s="24" t="s">
        <v>632</v>
      </c>
      <c r="I9" t="s">
        <v>633</v>
      </c>
    </row>
    <row r="10" spans="2:17" x14ac:dyDescent="0.3">
      <c r="B10" s="22"/>
      <c r="C10" s="22"/>
      <c r="D10" s="24"/>
      <c r="E10" s="24"/>
      <c r="F10" s="24"/>
      <c r="G10" s="24" t="s">
        <v>634</v>
      </c>
    </row>
    <row r="11" spans="2:17" x14ac:dyDescent="0.3">
      <c r="B11" s="22"/>
      <c r="C11" s="22"/>
      <c r="D11" s="24"/>
      <c r="E11" s="24"/>
      <c r="F11" s="24"/>
      <c r="G11" s="24"/>
    </row>
    <row r="12" spans="2:17" x14ac:dyDescent="0.3">
      <c r="B12" s="22"/>
      <c r="C12" s="22"/>
      <c r="D12" s="24"/>
      <c r="E12" s="24"/>
      <c r="F12" s="24"/>
      <c r="G12" s="24"/>
    </row>
    <row r="13" spans="2:17" x14ac:dyDescent="0.3">
      <c r="B13" s="22"/>
      <c r="C13" s="22"/>
      <c r="D13" s="24"/>
      <c r="E13" s="24"/>
      <c r="F13" s="24"/>
      <c r="G13" s="24"/>
    </row>
    <row r="14" spans="2:17" x14ac:dyDescent="0.3">
      <c r="B14" s="22"/>
      <c r="C14" s="22"/>
      <c r="D14" s="24"/>
      <c r="E14" s="24"/>
      <c r="F14" s="24"/>
      <c r="G14" s="24"/>
    </row>
    <row r="15" spans="2:17" x14ac:dyDescent="0.3">
      <c r="B15" s="22"/>
      <c r="C15" s="22"/>
      <c r="D15" s="24"/>
      <c r="E15" s="24"/>
      <c r="F15" s="24"/>
      <c r="G15" s="24"/>
    </row>
    <row r="16" spans="2:17" x14ac:dyDescent="0.3">
      <c r="B16" s="22"/>
      <c r="C16" s="22"/>
      <c r="D16" s="24"/>
      <c r="E16" s="24"/>
      <c r="F16" s="24"/>
      <c r="G16" s="24"/>
    </row>
    <row r="17" spans="2:7" x14ac:dyDescent="0.3">
      <c r="B17" s="22"/>
      <c r="C17" s="22"/>
      <c r="D17" s="24"/>
      <c r="E17" s="24"/>
      <c r="F17" s="24"/>
      <c r="G17" s="24"/>
    </row>
    <row r="18" spans="2:7" x14ac:dyDescent="0.3">
      <c r="B18" s="22"/>
      <c r="C18" s="22"/>
      <c r="D18" s="24"/>
      <c r="E18" s="24"/>
      <c r="F18" s="24"/>
      <c r="G18" s="24"/>
    </row>
    <row r="19" spans="2:7" x14ac:dyDescent="0.3">
      <c r="B19" s="22"/>
      <c r="C19" s="22"/>
      <c r="D19" s="24"/>
      <c r="E19" s="24"/>
      <c r="F19" s="24"/>
      <c r="G19" s="24"/>
    </row>
    <row r="20" spans="2:7" x14ac:dyDescent="0.3">
      <c r="B20" s="22"/>
      <c r="C20" s="22"/>
      <c r="D20" s="24"/>
      <c r="E20" s="24"/>
      <c r="F20" s="24"/>
      <c r="G20" s="24"/>
    </row>
    <row r="21" spans="2:7" x14ac:dyDescent="0.3">
      <c r="B21" s="22"/>
      <c r="C21" s="22"/>
      <c r="D21" s="24"/>
      <c r="E21" s="24"/>
      <c r="F21" s="24"/>
      <c r="G21" s="24"/>
    </row>
    <row r="22" spans="2:7" x14ac:dyDescent="0.3">
      <c r="B22" s="22"/>
      <c r="C22" s="22"/>
      <c r="D22" s="24"/>
      <c r="E22" s="24"/>
      <c r="F22" s="24"/>
      <c r="G22" s="24"/>
    </row>
    <row r="23" spans="2:7" x14ac:dyDescent="0.3">
      <c r="B23" s="22"/>
      <c r="C23" s="22"/>
      <c r="D23" s="24"/>
      <c r="E23" s="24"/>
      <c r="F23" s="24"/>
      <c r="G23" s="24"/>
    </row>
    <row r="24" spans="2:7" x14ac:dyDescent="0.3">
      <c r="B24" s="22"/>
      <c r="C24" s="22"/>
      <c r="D24" s="24"/>
      <c r="E24" s="24"/>
      <c r="F24" s="24"/>
      <c r="G24" s="24"/>
    </row>
    <row r="25" spans="2:7" x14ac:dyDescent="0.3">
      <c r="B25" s="22"/>
      <c r="C25" s="22"/>
      <c r="D25" s="24"/>
      <c r="E25" s="24"/>
      <c r="F25" s="24"/>
      <c r="G25" s="24"/>
    </row>
    <row r="26" spans="2:7" x14ac:dyDescent="0.3">
      <c r="B26" s="22"/>
      <c r="C26" s="22"/>
      <c r="D26" s="24"/>
      <c r="E26" s="24"/>
      <c r="F26" s="24"/>
      <c r="G26" s="24"/>
    </row>
    <row r="27" spans="2:7" x14ac:dyDescent="0.3">
      <c r="B27" s="22"/>
      <c r="C27" s="22"/>
      <c r="D27" s="24"/>
      <c r="E27" s="24"/>
      <c r="F27" s="24"/>
      <c r="G27" s="24"/>
    </row>
    <row r="28" spans="2:7" x14ac:dyDescent="0.3">
      <c r="B28" s="22"/>
      <c r="C28" s="22"/>
      <c r="D28" s="24"/>
      <c r="E28" s="24"/>
      <c r="F28" s="24"/>
      <c r="G28" s="24"/>
    </row>
    <row r="29" spans="2:7" x14ac:dyDescent="0.3">
      <c r="B29" s="22"/>
      <c r="C29" s="22"/>
      <c r="D29" s="24"/>
      <c r="E29" s="24"/>
      <c r="F29" s="24"/>
      <c r="G29" s="24"/>
    </row>
    <row r="30" spans="2:7" x14ac:dyDescent="0.3">
      <c r="B30" s="22"/>
      <c r="C30" s="22"/>
      <c r="D30" s="24"/>
      <c r="E30" s="24"/>
      <c r="F30" s="24"/>
      <c r="G30" s="24"/>
    </row>
    <row r="31" spans="2:7" x14ac:dyDescent="0.3">
      <c r="B31" s="22"/>
      <c r="C31" s="22"/>
      <c r="D31" s="24"/>
      <c r="E31" s="24"/>
      <c r="F31" s="24"/>
      <c r="G31" s="24"/>
    </row>
    <row r="32" spans="2:7" x14ac:dyDescent="0.3">
      <c r="B32" s="22"/>
      <c r="C32" s="22"/>
      <c r="D32" s="24"/>
      <c r="E32" s="24"/>
      <c r="F32" s="24"/>
      <c r="G32" s="24"/>
    </row>
    <row r="33" spans="2:7" x14ac:dyDescent="0.3">
      <c r="B33" s="22"/>
      <c r="C33" s="22"/>
      <c r="D33" s="24"/>
      <c r="E33" s="24"/>
      <c r="F33" s="24"/>
      <c r="G33" s="24"/>
    </row>
    <row r="34" spans="2:7" x14ac:dyDescent="0.3">
      <c r="B34" s="22"/>
      <c r="C34" s="22"/>
      <c r="D34" s="24"/>
      <c r="E34" s="24"/>
      <c r="F34" s="24"/>
      <c r="G34" s="24"/>
    </row>
    <row r="35" spans="2:7" x14ac:dyDescent="0.3">
      <c r="B35" s="22"/>
      <c r="C35" s="22"/>
      <c r="D35" s="24"/>
      <c r="E35" s="24"/>
      <c r="F35" s="24"/>
      <c r="G35" s="24"/>
    </row>
    <row r="36" spans="2:7" x14ac:dyDescent="0.3">
      <c r="B36" s="22"/>
      <c r="C36" s="22"/>
      <c r="D36" s="24"/>
      <c r="E36" s="24"/>
      <c r="F36" s="24"/>
      <c r="G36" s="24"/>
    </row>
    <row r="37" spans="2:7" x14ac:dyDescent="0.3">
      <c r="B37" s="22"/>
      <c r="C37" s="22"/>
      <c r="D37" s="24"/>
      <c r="E37" s="24"/>
      <c r="F37" s="24"/>
      <c r="G37" s="24"/>
    </row>
    <row r="38" spans="2:7" x14ac:dyDescent="0.3">
      <c r="B38" s="22"/>
      <c r="C38" s="22"/>
      <c r="D38" s="24"/>
      <c r="E38" s="24"/>
      <c r="F38" s="24"/>
      <c r="G38" s="24"/>
    </row>
    <row r="39" spans="2:7" x14ac:dyDescent="0.3">
      <c r="B39" s="22"/>
      <c r="C39" s="22"/>
      <c r="D39" s="24"/>
      <c r="E39" s="24"/>
      <c r="F39" s="24"/>
      <c r="G39" s="24"/>
    </row>
    <row r="40" spans="2:7" x14ac:dyDescent="0.3">
      <c r="B40" s="22"/>
      <c r="C40" s="22"/>
      <c r="D40" s="24"/>
      <c r="E40" s="24"/>
      <c r="F40" s="24"/>
      <c r="G40" s="24"/>
    </row>
    <row r="41" spans="2:7" x14ac:dyDescent="0.3">
      <c r="B41" s="22"/>
      <c r="C41" s="22"/>
      <c r="D41" s="24"/>
      <c r="E41" s="24"/>
      <c r="F41" s="24"/>
      <c r="G41" s="24"/>
    </row>
    <row r="42" spans="2:7" x14ac:dyDescent="0.3">
      <c r="B42" s="22"/>
      <c r="C42" s="22"/>
      <c r="D42" s="24"/>
      <c r="E42" s="24"/>
      <c r="F42" s="24"/>
      <c r="G42" s="24"/>
    </row>
    <row r="43" spans="2:7" x14ac:dyDescent="0.3">
      <c r="B43" s="22"/>
      <c r="C43" s="22"/>
      <c r="D43" s="24"/>
      <c r="E43" s="24"/>
      <c r="F43" s="24"/>
      <c r="G43" s="24"/>
    </row>
    <row r="44" spans="2:7" x14ac:dyDescent="0.3">
      <c r="B44" s="22"/>
      <c r="C44" s="22"/>
      <c r="D44" s="24"/>
      <c r="E44" s="24"/>
      <c r="F44" s="24"/>
      <c r="G44" s="24"/>
    </row>
    <row r="45" spans="2:7" x14ac:dyDescent="0.3">
      <c r="B45" s="22"/>
      <c r="C45" s="22"/>
      <c r="D45" s="24"/>
      <c r="E45" s="24"/>
      <c r="F45" s="24"/>
      <c r="G45" s="24"/>
    </row>
    <row r="46" spans="2:7" x14ac:dyDescent="0.3">
      <c r="B46" s="22"/>
      <c r="C46" s="22"/>
      <c r="D46" s="24"/>
      <c r="E46" s="24"/>
      <c r="F46" s="24"/>
      <c r="G46" s="24"/>
    </row>
    <row r="47" spans="2:7" x14ac:dyDescent="0.3">
      <c r="B47" s="22"/>
      <c r="C47" s="22"/>
      <c r="D47" s="24"/>
      <c r="E47" s="24"/>
      <c r="F47" s="24"/>
      <c r="G47" s="24"/>
    </row>
    <row r="48" spans="2:7" x14ac:dyDescent="0.3">
      <c r="B48" s="22"/>
      <c r="C48" s="22"/>
      <c r="D48" s="24"/>
      <c r="E48" s="24"/>
      <c r="F48" s="24"/>
      <c r="G48"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MUESTREO</vt:lpstr>
      <vt:lpstr>Hoja1</vt:lpstr>
      <vt:lpstr>Lista Maestra</vt:lpstr>
      <vt:lpstr>CONTENIDO DE 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Adolfo Monar Freire</dc:creator>
  <cp:lastModifiedBy>Jonathan Medina Montesdeoca</cp:lastModifiedBy>
  <dcterms:created xsi:type="dcterms:W3CDTF">2025-06-24T16:19:19Z</dcterms:created>
  <dcterms:modified xsi:type="dcterms:W3CDTF">2026-01-05T21:28:28Z</dcterms:modified>
</cp:coreProperties>
</file>