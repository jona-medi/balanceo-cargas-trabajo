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opicalfruitexportsa-my.sharepoint.com/personal/croman_tropicalfruitexport_com/Documents/FUNCIONES 2025/TTHH/"/>
    </mc:Choice>
  </mc:AlternateContent>
  <xr:revisionPtr revIDLastSave="2332" documentId="13_ncr:1_{C114D793-B9C3-40E0-A88A-D82C4A258DE6}" xr6:coauthVersionLast="47" xr6:coauthVersionMax="47" xr10:uidLastSave="{8F1FDE56-288F-4387-B857-A6BC4E1BCF1C}"/>
  <bookViews>
    <workbookView xWindow="-120" yWindow="-120" windowWidth="20730" windowHeight="11040" firstSheet="1" activeTab="1" xr2:uid="{6463E51F-8750-4E07-B234-62C7AEB7BD04}"/>
  </bookViews>
  <sheets>
    <sheet name="ANALISTA DE NOMINA" sheetId="8" r:id="rId1"/>
    <sheet name="GERENTE DE TTHH - ADMINISTRACIÓ" sheetId="9" r:id="rId2"/>
    <sheet name="ANALISTA ADMINISTRATIVA - TTHH" sheetId="7" r:id="rId3"/>
    <sheet name="Hoja3" sheetId="4" state="hidden" r:id="rId4"/>
    <sheet name="Hoja1" sheetId="2" state="hidden" r:id="rId5"/>
  </sheets>
  <definedNames>
    <definedName name="_xlnm._FilterDatabase" localSheetId="2" hidden="1">'ANALISTA ADMINISTRATIVA - TTHH'!$B$11:$H$104</definedName>
    <definedName name="_xlnm._FilterDatabase" localSheetId="0" hidden="1">'ANALISTA DE NOMINA'!$A$11:$H$57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4" i="7" l="1"/>
  <c r="E59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4BB2303F-FD48-435A-9E39-DF63DF544BD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D736F9E6-9CD6-435D-A97B-DC99381B8956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64DD3C96-73E2-46B6-B6D3-176B9020C4C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64C68835-03E5-4DAF-81CB-562D9F8FAFF9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9488A6B7-F619-4743-AFA6-2F5BBD958ABF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3FA7A7BD-4E2F-436B-A9B6-86BBA32D357E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D0FC6982-2546-4B13-84DC-8AA91BC23383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Génesis Daza</author>
  </authors>
  <commentList>
    <comment ref="B11" authorId="0" shapeId="0" xr:uid="{AE2D8FFF-7D48-4C89-A3BA-93C65E0EF17A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Función general</t>
        </r>
      </text>
    </comment>
    <comment ref="C11" authorId="0" shapeId="0" xr:uid="{EE8B78C0-AB60-41FA-93BE-AF475F95254C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Acciones específicas de acuerdo a la función general</t>
        </r>
      </text>
    </comment>
    <comment ref="D11" authorId="0" shapeId="0" xr:uid="{5B23A4F2-D09C-4C05-B48B-2317E0913460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Diaria
Semanal
Quincenal
Mensual
Semestral
Anual</t>
        </r>
      </text>
    </comment>
    <comment ref="E11" authorId="0" shapeId="0" xr:uid="{9BFE8C72-7D58-4010-9211-73B18CAAA50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Cantidad de veces que realiza dicha actividad de acuerdo a la frecuencia. 
Por ejemplo: 5 veces al día</t>
        </r>
      </text>
    </comment>
    <comment ref="F11" authorId="0" shapeId="0" xr:uid="{2F57C517-1752-4B12-AB88-A07D786BC712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Área/Dpto relacionado</t>
        </r>
      </text>
    </comment>
    <comment ref="G11" authorId="0" shapeId="0" xr:uid="{245E9ABC-CACE-41DF-B3C7-15F001C008E1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Sistema
Software
(Odoo, Evolution, otros)
Matriz Excel</t>
        </r>
      </text>
    </comment>
    <comment ref="H11" authorId="0" shapeId="0" xr:uid="{F214527F-6B4A-45BC-9FB4-9A03CFF6A4F4}">
      <text>
        <r>
          <rPr>
            <b/>
            <sz val="9"/>
            <color indexed="81"/>
            <rFont val="Tahoma"/>
            <family val="2"/>
          </rPr>
          <t>Génesis Daza:</t>
        </r>
        <r>
          <rPr>
            <sz val="9"/>
            <color indexed="81"/>
            <rFont val="Tahoma"/>
            <family val="2"/>
          </rPr>
          <t xml:space="preserve">
Links de páginas web si lo requiere
Escritorio (PC)
Físico (archivo)</t>
        </r>
      </text>
    </comment>
  </commentList>
</comments>
</file>

<file path=xl/sharedStrings.xml><?xml version="1.0" encoding="utf-8"?>
<sst xmlns="http://schemas.openxmlformats.org/spreadsheetml/2006/main" count="788" uniqueCount="298">
  <si>
    <t>MATRIZ DE FUNCIONES</t>
  </si>
  <si>
    <t>Código:  F-TH-012</t>
  </si>
  <si>
    <t>Fecha: 06/07/2024</t>
  </si>
  <si>
    <t>Versión: 01</t>
  </si>
  <si>
    <t>Formato: Según necesidades de registro</t>
  </si>
  <si>
    <t>Aprobado por: Alta Dirección</t>
  </si>
  <si>
    <t>Página 1 de 2</t>
  </si>
  <si>
    <t>Medio de Comunicación: Físico</t>
  </si>
  <si>
    <t>Idioma: Español</t>
  </si>
  <si>
    <t xml:space="preserve">Área: </t>
  </si>
  <si>
    <t>TALENTO HUMANO</t>
  </si>
  <si>
    <t xml:space="preserve">Cargo: </t>
  </si>
  <si>
    <t>ANALISTA DE NOMINA</t>
  </si>
  <si>
    <t>Reporta a:</t>
  </si>
  <si>
    <t>CRISTINA ROMAN</t>
  </si>
  <si>
    <r>
      <t>N</t>
    </r>
    <r>
      <rPr>
        <b/>
        <sz val="11"/>
        <color theme="0"/>
        <rFont val="Calibri"/>
        <family val="2"/>
      </rPr>
      <t>°</t>
    </r>
  </si>
  <si>
    <t>FUNCIÓN</t>
  </si>
  <si>
    <t>ACCIONES</t>
  </si>
  <si>
    <t>FRECUENCIA</t>
  </si>
  <si>
    <t>VOLUMEN</t>
  </si>
  <si>
    <t>PROCESO</t>
  </si>
  <si>
    <t>RECURSO</t>
  </si>
  <si>
    <t>UBICACIÓN</t>
  </si>
  <si>
    <t xml:space="preserve">INGRESO DEL NUEVO PERSONAL A LOS SISTEMAS DE EMPLEADOR </t>
  </si>
  <si>
    <t xml:space="preserve">REGISTROS DE AVISOS DE ENTRADA E INGRESOS DE CONTRATOS DEL PERSONAL NUEVO </t>
  </si>
  <si>
    <t>Quincenal</t>
  </si>
  <si>
    <t>Talento Humano</t>
  </si>
  <si>
    <t>IESS - SUT</t>
  </si>
  <si>
    <t>PC</t>
  </si>
  <si>
    <t>REALIZAR PROCESO DE CONTRATACION</t>
  </si>
  <si>
    <t>COMPLETAR LOS DOCUMENTOS DE VINCULACION DEL PERSONAL NUEVO EN RELACION A LA CONTRATACION (CONTRATO, ACUERDO DE CONFIDENCIALIDAD Y COMPROMISO, DECLARACION DE CORREO, FORMULARIO DE ACUMULACION DE BENEFICIOS Y SEGURO DE VIDA)</t>
  </si>
  <si>
    <t>EVOLUTION</t>
  </si>
  <si>
    <t>ANTICIPO QUINCENAL</t>
  </si>
  <si>
    <t>REALIZAR EL PROCESO DE NOMINA DEL PAGO QUINCENAL</t>
  </si>
  <si>
    <t>CONTROL DE DESCUENTOS DE EMPLEADOS</t>
  </si>
  <si>
    <t xml:space="preserve">CONTROL, SEGUIMIENTO Y DESCUENTO DE VALORES  DE IMPUNTUALIDAD DE LOS COLABORADORES </t>
  </si>
  <si>
    <t>Mensual</t>
  </si>
  <si>
    <t>BIOMETRECO - EXCEL</t>
  </si>
  <si>
    <t xml:space="preserve">CONTROL Y DESCUENTO DE VALORES  POR LAS PASADAS ADICIONALES QUE TENGAN LOS COLABORADORES POR CADA PEAJE QUE SE ENCUENTRAN AFILIADOS </t>
  </si>
  <si>
    <t>TAG EXPRESS</t>
  </si>
  <si>
    <t>VERIFICAR Y REGISTRAR PRESTAMOS ACTIVOS DE LOS EMPLEADOS E INGRESAR AL SISTEMA PARA TRAZABILIDAD CON CONTABILIDAD</t>
  </si>
  <si>
    <t>Semanal</t>
  </si>
  <si>
    <t>1.5%</t>
  </si>
  <si>
    <t xml:space="preserve">REVISAR DESCUENTOS DE FASTLINE </t>
  </si>
  <si>
    <t>0.5%</t>
  </si>
  <si>
    <t>VERIFICACION DEL PAGO DEL FONDO DE RESERVA</t>
  </si>
  <si>
    <t>REVISAR EN EL IESS LOS CAMBIOS DEL FONDO DE RESERVA DE ACUERDO A LA ACUMULACION Y MENSUALIZACION DE ESTE BENEFICIO (EVITAR PAGOS INCORRECTOS O DESCONTAR VALORES YA QUE EL COLABORADOR NO INDICA EL CAMBIO DE ESTA MODALIDAD</t>
  </si>
  <si>
    <t>IESS</t>
  </si>
  <si>
    <t>GESTION DE VENTA DE ARROZ</t>
  </si>
  <si>
    <t>COORDINAR LA VENTA, INVENTARIO E INGRESO DE PRESTAMOS AL SISTEMA POR LA COMPRA DE ARROZ</t>
  </si>
  <si>
    <t>Diario</t>
  </si>
  <si>
    <t>MATRIZ EXCEL</t>
  </si>
  <si>
    <t>CALCULO DE HORAS EXTRAS</t>
  </si>
  <si>
    <t>GESTIONAR LA PROGRAMACION DEL BIOMETRICO Y REALIZAR EL CALCULO DE LAS HORAS EXTRAS PARA TODAS LAS EMPRESAS SEGUN LO REQUIERA</t>
  </si>
  <si>
    <t>MENSUAL</t>
  </si>
  <si>
    <t>NOMINA FIN DE MES</t>
  </si>
  <si>
    <t>IMPLEMENTAR DENTRO DE LA NOMINA TODAS LAS NOVEDADES DE INGRESOS Y DESCUENTOS DENTRO DEL MES PARA EL PAGO DEL FIN DE MES DE CADA EMPLEADO (SE DEBE REALIZAR PROCESOS PREVIOS A INICIOS Y MEDIADOS DEL MES PARA APLICAR TODOS LOS DESCUENTOS ESTABLECIDOS)</t>
  </si>
  <si>
    <t>EVOLUTION - MATRIZ EXCEL</t>
  </si>
  <si>
    <t xml:space="preserve">PAGO DE VIATICOS </t>
  </si>
  <si>
    <t>VERIFICAR LOS AUSENTISMOS DE CADA MES Y PROCEDER CON EL CALCULO DE LOS VIATICOS DE LOS CONDUCTORES DE SMART</t>
  </si>
  <si>
    <t>REALIZAR EL ARCHIVO DE PAGO TXT, SUBIR AL BANCO Y DAR SEGUIMIENTO DE PAGO CON EL DEPARTAMENTO FINANCIERO</t>
  </si>
  <si>
    <t>MACRO</t>
  </si>
  <si>
    <t>PROCESO DE INGRESO DE NOVEDADES DEL IESS</t>
  </si>
  <si>
    <t>AL FINALIZAR EL PAGO DE FIN DE MES SE DEBE INGRESAR AL IESS TODAS LAS NOVEDADES DE PAGO GRABABLES(BONIFICACIONES, HORAS EXTRAS)</t>
  </si>
  <si>
    <t>REVISAR Y VERIFICAR LOS VALORES DE CADA PLANILLA GENERADA POR LAS DIFERENTES EMPRESAS</t>
  </si>
  <si>
    <t>COORDINAR CON EL DEPARTAMENTO FINANCIERO EL PAGO DE TODAS LAS PLANILLAS GENERADAS Y ENVIAR A CONTABILIDAD</t>
  </si>
  <si>
    <t>VERIFICACION Y CALCULO DE BENEFICIOS</t>
  </si>
  <si>
    <t xml:space="preserve">REALIZAR Y REVISAR EL CALCULO DEL DECIMO TERCERO DE TODAS LAS EMPRESAS, UNA VEZ CULMINADO SUBIR AL BANCO LOS VALORES GENERADOS </t>
  </si>
  <si>
    <t>Anual</t>
  </si>
  <si>
    <t>IESS- MATRIZ EXCEL</t>
  </si>
  <si>
    <t xml:space="preserve">REALIZAR Y REVISAR EL CALCULO DEL DECIMO CUARTO DE TODAS LAS EMPRESAS, UNA VEZ CULMINADO SUBIR AL BANCO LOS VALORES GENERADOS </t>
  </si>
  <si>
    <t xml:space="preserve">REALIZAR Y REVISAR EL CALCULO DE LAS UTILIDADES DE TODAS LAS EMPRESAS, UNA VEZ CULMINADO SUBIR AL BANCO LOS VALORES GENERADOS </t>
  </si>
  <si>
    <t>CALCULO DE IMPUESTO A LA RENTA</t>
  </si>
  <si>
    <t xml:space="preserve">NOTIFICAR A LOS COLABORADORES QUE DEBEN HACER ENTREGA DEL FORMULARIO DE GASTOS PERSONALES </t>
  </si>
  <si>
    <t xml:space="preserve">INGRESAR LOS VALORES DEL FORMULARIO DE GASTOS PERSONALES PARA EL RESPECTIVO CALCULO Y DESCUENTO DENTRO DE LA NOMINA </t>
  </si>
  <si>
    <t>Trimestral</t>
  </si>
  <si>
    <t>FORMULARIO ACTUARIA</t>
  </si>
  <si>
    <t>RECOPILAR LA INFORMACION DE LOS PAGOS REALIZADOS DENTRO DEL AÑO POR CADA COLABORADOR PARA EL CUMPLIMIENTO DE LA PRESENTACION  DEL FORMULARIO ACTUARIA</t>
  </si>
  <si>
    <t>ANUAL</t>
  </si>
  <si>
    <t>PROCESO DE SALIDA DE PERSONAL</t>
  </si>
  <si>
    <t>INGRESAR INFORMACION DEL PERSONAL CESANTE DENTRO DEL COMPARTIDO, Y GESTIONAR CON LA DOCTORA LOS EXAMENES DE SALIDA PARA EL CUMPLIMIENTO DE FICHA MEDICA DE SALIDA</t>
  </si>
  <si>
    <t>REGISTRAR EN EL IESS Y EL SUT LA SALIDA DEL COLABORADOR</t>
  </si>
  <si>
    <t>REVISAR LOS EQUIPOS QUE TENIA A DISPOSICION EL COLABORADOR PARA REALIZAR LAS ACTAS DE RECEPCION</t>
  </si>
  <si>
    <t>REALIZAR EL CALCULO DE LA LIQUIDACION AGREGANDO TODOS LOS VALORES PENDIENTES TANTO DE INGRESO COMO  DESCUENTOS</t>
  </si>
  <si>
    <t>SUT</t>
  </si>
  <si>
    <t>ENVIAR AL DEPARTAMENTO CONTABLE LA LIQUIDACION PARA EL REGISTRO EN SAP</t>
  </si>
  <si>
    <t>GESTIONAR EL PAGO DE LA LIQUIDACION EN EL TIEMPO OPORTUNO</t>
  </si>
  <si>
    <t>GESTION DE PAGOS ADICIONALES SMART(VARIABLE Y PRODUCTIVIDAD)</t>
  </si>
  <si>
    <t>REVISAR Y GESTIONAR EL PAGO EN LAS FECHAS ESTABLECIDAS DE LA VARIABLE Y LA PRODUCTIVIDAD A LOS CONDUCTORES DE LA EMPRESA SMART</t>
  </si>
  <si>
    <t xml:space="preserve">GESTION DE PAGO DE PRESTAMOS </t>
  </si>
  <si>
    <t>REGISTRAR LOS PRESTAMOS Y SUBIR ORDEN DE PAGO AL BANCO</t>
  </si>
  <si>
    <t>PROCESO DE FACTURACION DEL PERSONAL EVENTUAL</t>
  </si>
  <si>
    <t>REVISAR TODAS LAS BITACORAS ENVIADAS POR LOS COORDINADORES DE LAS ZONAS</t>
  </si>
  <si>
    <t xml:space="preserve">REVISAR VALORES PENDIENTES DE DESCUENTO POR PRESTAMOS </t>
  </si>
  <si>
    <t>NOTIFICACION POR CORREO</t>
  </si>
  <si>
    <t>INGRESAR DETALLE DE CADA VALOR DENTRO DE LA FACTURA EN EL CUADRO DE INFOPAGO DE ENVENTUALES Y GESTIONAR EL PAGO DE CADA FACTURA</t>
  </si>
  <si>
    <t>INFOPAGO</t>
  </si>
  <si>
    <t>PROYECCION DE INCREMENTO DEL SALARIO BASICO PARA EL NUEVO AÑO</t>
  </si>
  <si>
    <t>ENVIAR A CONTABILIDAD UNA PROYECCION DEL INCREMENTO DEL SBU PARA EL NUEVO AÑO Y MARCAR LA TRAZABILIDAD EN EL IMPACTO DEL PAGO DEL DECIMO CUARTO(TENER LOS FONDOS PARA EL INCREMENTO)</t>
  </si>
  <si>
    <t>PROYECCION DE LOS GASTOS DENTRO DEL AÑO</t>
  </si>
  <si>
    <t>ENVIAR AL DEPARTAMENTO FINANCIERO UNA PROYECCION DE TODOS LOS GASTOS EMITIDOS DENTRO DEL AÑO Y EN LAS FECHAS INIDICADAS(PAGOS DE QUINCENA, NOMINA, PLANILLAS DEL IESS, PAGO DEL DECIMO TERCERO, DECIMO CUARTO Y UTILIDADES)</t>
  </si>
  <si>
    <t>ARCHIVO RDEP</t>
  </si>
  <si>
    <t xml:space="preserve">COMPLETAR EL FORMULARIO EMITIDO POR EL SRI </t>
  </si>
  <si>
    <t xml:space="preserve">VERIFICAR LOS CALCULOS DEL IMPUESTO A LA RENTA EN COLABORACION CON EL CONTADOR </t>
  </si>
  <si>
    <t>REVISAR LOS VALORES PENDIENTES QUE QUEDAN POR DESCONTAR DEL IMPUESTO A LA RENTA AL FINALIZAR EL AÑO</t>
  </si>
  <si>
    <t>INGRESO DE FORMULARIOS DEL MINISTERIO</t>
  </si>
  <si>
    <t>REALIZAR LOS FORMULARIOS EMITIDOS POR EL MINISTERIO PARA LEGALIZAR TODOS LOS BENEFICIOS PAGADOS A LOS EMPLEADOS(DECIMO TERCERO, DECIMO CUARTO, UTILIDADES)</t>
  </si>
  <si>
    <t>Semestral</t>
  </si>
  <si>
    <t>MINISTERIO</t>
  </si>
  <si>
    <t>SOPORTE AL PERSONAL DE CONTABILIDAD</t>
  </si>
  <si>
    <t>BRINDAR SOPORTE AL DEPARTAMENTO CONTABLE SOBRE TODOS LOS PRESTAMOS, DESCUENTOS, PLANILLAS DEL IESS QUE SE VEN REFLEJADOS DURANTE EL MES</t>
  </si>
  <si>
    <t>ENVIAR DETALLE PARA EL REGISTRO EN SAP Y LAS CXC A LAS DIFERENTES EMPRESAS POR LA VENTA DE ARROZ</t>
  </si>
  <si>
    <t>EMITIR LOS ASIENTOS CONTABLES DE LOS PRESTAMOS PARA EL REGISTRO EN SAP</t>
  </si>
  <si>
    <t>COORDINACION DE EXPRESOS</t>
  </si>
  <si>
    <t>COORDINAR LA CAPACIDAD DE LAS RUTAS DE EXPRESO DE ACUERDO AL TELETRABAJO</t>
  </si>
  <si>
    <t>SOPORTE AL PERSONAL</t>
  </si>
  <si>
    <t xml:space="preserve">REALIZAR DETALLE DE CAJA DE CUMPLEAÑOS </t>
  </si>
  <si>
    <t>0.2%</t>
  </si>
  <si>
    <t>N/A</t>
  </si>
  <si>
    <t>INGRESO DE VACACIONES EN EL SISTEMA</t>
  </si>
  <si>
    <t xml:space="preserve">DAR SOPORTE EN LOS EVENTOS CORPORATIVOS </t>
  </si>
  <si>
    <t>Bimensual</t>
  </si>
  <si>
    <t>Elaborado por:</t>
  </si>
  <si>
    <t>Revisado por:</t>
  </si>
  <si>
    <t>Aprobado por:</t>
  </si>
  <si>
    <t>Nombre del colaborador:</t>
  </si>
  <si>
    <t>GERENTE DE ADMINISTRACIÓN &amp; TTHH</t>
  </si>
  <si>
    <t>GERENTE GENERAL</t>
  </si>
  <si>
    <t>Planificación del talento humano</t>
  </si>
  <si>
    <t>Analizar las necesidades de personal actuales y futuras.
Diseñar planes de contratación, capacitación y sucesión.
Alinear la estrategia de talento con los objetivos de la organización.</t>
  </si>
  <si>
    <t>Reclutamiento y selección</t>
  </si>
  <si>
    <t>Definir perfiles de cargo y competencias requeridas.
Dirigir procesos de reclutamiento (interno y externo).
Evaluar y seleccionar candidatos adecuados.</t>
  </si>
  <si>
    <t>Capacitación y desarrollo</t>
  </si>
  <si>
    <t>Detectar necesidades de formación.
Implementar programas de capacitación, liderazgo y desarrollo profesional.
Fomentar el aprendizaje continuo y la gestión del conocimiento.</t>
  </si>
  <si>
    <t>Gestión de compensaciones y beneficios</t>
  </si>
  <si>
    <t>Diseñar políticas salariales competitivas.
Administrar beneficios, incentivos y reconocimientos.
Garantizar la equidad interna y la competitividad externa.</t>
  </si>
  <si>
    <t>Clima y cultura organizacional</t>
  </si>
  <si>
    <t>Promover un ambiente laboral saludable y motivador.
Fomentar la comunicación interna y el trabajo en equipo.
Gestionar la cultura organizacional y los valores corporativos.</t>
  </si>
  <si>
    <t>Gestión laboral y legal</t>
  </si>
  <si>
    <t>Asegurar el cumplimiento de la legislación laboral.
Administrar contratos, vacaciones, licencias y despidos conforme a la ley.
Manejar relaciones sindicales o laborales si aplica.</t>
  </si>
  <si>
    <t>Evaluación del desempeño</t>
  </si>
  <si>
    <t>Diseñar y aplicar sistemas de evaluación del desempeño.
Dar seguimiento al rendimiento individual y grupal.
Establecer planes de mejora y desarrollo según resultados.</t>
  </si>
  <si>
    <t>Gestión del cambio y transformación organizacional</t>
  </si>
  <si>
    <t>Gestionar procesos de cambio cultural, tecnológico o estructural.
Facilitar la adaptación del personal a nuevas estrategias o modelos de trabajo.</t>
  </si>
  <si>
    <t>Bienestar y salud ocupacional</t>
  </si>
  <si>
    <t>Desarrollar programas de bienestar físico, emocional y social.
Implementar políticas de seguridad y salud en el trabajo.</t>
  </si>
  <si>
    <t>Gestión de la información y métricas de RR. HH.</t>
  </si>
  <si>
    <t>Utilizar indicadores (KPI) para medir la efectividad del área.
Analizar datos para tomar decisiones estratégicas (People Analytics).</t>
  </si>
  <si>
    <t xml:space="preserve">Analista Talento Humano &amp; Administración </t>
  </si>
  <si>
    <t>Cristina Roman</t>
  </si>
  <si>
    <t>Tramites y permiso Municipales</t>
  </si>
  <si>
    <t>Realizar los tramites para los permisos municipales de todas las empresas del grupo, y hacer seguimiento al pago de convenios tales como: Permiso Cuerpo de Bomberos, Patente ,1.5 xmil ,Tasa de habilitacion.</t>
  </si>
  <si>
    <t>Administración</t>
  </si>
  <si>
    <t xml:space="preserve">CORREO </t>
  </si>
  <si>
    <t>Fisico</t>
  </si>
  <si>
    <t>Realizar cartas y adjuntar completar requisitos para entregar documentacion al Municipio.</t>
  </si>
  <si>
    <t>WORD</t>
  </si>
  <si>
    <t>Enviar y fondear valores para que financiero realice el pago</t>
  </si>
  <si>
    <t xml:space="preserve"> EXCEL - CORREO</t>
  </si>
  <si>
    <t xml:space="preserve">Control de Saldos en Peajes </t>
  </si>
  <si>
    <t>Realizar Cuadro de saldos y compartir al departamento financiero (Conorte, Pan, Concegua, Cvialco)</t>
  </si>
  <si>
    <t>https://tagexpress.club/</t>
  </si>
  <si>
    <t>Fondear recarga de peajes, una vez realizado el pago realizar carta y enviar por mail para que facturen valor.</t>
  </si>
  <si>
    <t>Ingresar Factura en SAP, y compartir a financiero para que asignen el pago realizado.</t>
  </si>
  <si>
    <t>SAP</t>
  </si>
  <si>
    <t>Proceso de Facturacion del Personal (Alquiler de Vehiculo)</t>
  </si>
  <si>
    <t>Revisar si el colaborador tiene ausentismo dentro del mes a pagar.</t>
  </si>
  <si>
    <t>Revisar reportes en el sistema de Claro Flota, filtrando el mes de corte (25 de septiembre al 26 de octubre) y descargar el detalle de kilometraje de los 19 vehiculos y el km se debe  multiplicar por 0.08 ctvs (valor por km).</t>
  </si>
  <si>
    <t>Claro - Flotas</t>
  </si>
  <si>
    <t>Ingresar Valores a cancelar en cuadro de reporte mensual considerando que el valor a pagar no sea mayor a $400 dolares que es el tope.</t>
  </si>
  <si>
    <t>EXCEL</t>
  </si>
  <si>
    <t xml:space="preserve">Notificar a los colaboradores que valor deben de facturar e indicar fecha de recepcion de la factura. </t>
  </si>
  <si>
    <t>WHATSAPP</t>
  </si>
  <si>
    <t>CELULAR O PC</t>
  </si>
  <si>
    <t>Ingresar en el reporte datos bancarios del colaborador y compartir archivo al departamento financiero, para que realice pago.</t>
  </si>
  <si>
    <t>Realizar ingreso de valor total por alquiler de vehiculo en el fondeo, el mismo que debe cuadrar con el reporte que se envia a financiero.</t>
  </si>
  <si>
    <t>Ingresar las 19 facturas en SAP, y compartir documento scaneado al departamento de contabilidad para que cierre la factura.</t>
  </si>
  <si>
    <t>SAP - CORREO</t>
  </si>
  <si>
    <t>Monitorear Vehiculos (OP BANANO)</t>
  </si>
  <si>
    <t>Ingresar a la plataforma de claro flota y monitorear vehiculos, para confirmar que el colaborador este en la zona asignada, y que no existan notificaciones por exceso de velocidad, si hay novedad se reporta caso a jefe inmediato.</t>
  </si>
  <si>
    <t>Proceso de Facturacion del Personal (Alimentación)</t>
  </si>
  <si>
    <t>Ingresar Valores a cancelar en cuadro de reporte mensual considerando que el valor a pagar no sea mayor al valor asignado.</t>
  </si>
  <si>
    <t xml:space="preserve">Notificar a los 23 colaboradores que valor deben de facturar e indicar fecha de recepcion de la factura. </t>
  </si>
  <si>
    <t>Ingresar en el reporte datos bancarios del colaborador</t>
  </si>
  <si>
    <t>Realizar ingreso de valor total por pago de alimentacion, el mismo que debe cuadrar con el reporte que se envia a financiero.</t>
  </si>
  <si>
    <t>Ingresar las 23 facturas SAP, y compartir documento scaneado al departamento de contabilidad para que cierre la factura.</t>
  </si>
  <si>
    <t xml:space="preserve">Proceso pago de Honorarios </t>
  </si>
  <si>
    <t>Ingresar  facturas de Honorarios profesionales</t>
  </si>
  <si>
    <t>Ingresar facturas de servicios prestados.</t>
  </si>
  <si>
    <t xml:space="preserve">Fondear para pago y compartir documento scaneado al departamento de contabilidad para que cierre la factura. </t>
  </si>
  <si>
    <t xml:space="preserve">Cumpleañeros del mes </t>
  </si>
  <si>
    <t>Descargar cumpleañeros del mes y socializar a colaboradores.</t>
  </si>
  <si>
    <t xml:space="preserve">Menu alimentacion semanal </t>
  </si>
  <si>
    <t>Revisar menu de alimentacion y socializar a colaboradores.</t>
  </si>
  <si>
    <t>EXCEL - CORREO</t>
  </si>
  <si>
    <t>Alimentacion de Personal</t>
  </si>
  <si>
    <t>Realizar pedido de alimentacion revizando previamente que colaboradores reportaron ausentismo.</t>
  </si>
  <si>
    <t>Revisar consumo de alimentacion mensual una vez cudrada la distribucion por empresa enviar mail a proveedor para que realice facturacion.</t>
  </si>
  <si>
    <t>Ingresar  facturas en SAP, fondear para pago y compartir documento scaneado al departamento de contabilidad para que cierre la factura. (Sesme, Novacocina)</t>
  </si>
  <si>
    <t>Gestion de reembolso por desayunos y meriendas.</t>
  </si>
  <si>
    <t>CAJA CHICA</t>
  </si>
  <si>
    <t>Movilizacion de personal (TAXIS)</t>
  </si>
  <si>
    <t>Revisar detalle de viajes que comparte proveedor, una vez cudrado reenviar mail para que realice facturacion.</t>
  </si>
  <si>
    <t xml:space="preserve">Compartir a nomina detalle de descuentos. </t>
  </si>
  <si>
    <t xml:space="preserve">Ingresar  facturas en SAP, fondear para pago y compartir documento scaneado al departamento de contabilidad para que cierre la factura. </t>
  </si>
  <si>
    <t>Manejo proveedor Expreso (Uniexp)</t>
  </si>
  <si>
    <t>Revisar que la distibucion de los usuarios este correcta, y reenviar al proveedor para que facture.</t>
  </si>
  <si>
    <t>Manejo de proveedor Expreso ( Lenin Gallardo)</t>
  </si>
  <si>
    <t>Revisar que los viajes realizados y reenviar al proveedor para que facture.</t>
  </si>
  <si>
    <t>Ingresar  facturas en SAP, fondear para pago y compartir documento scaneado al departamento de contabilidad para que cierre la factura</t>
  </si>
  <si>
    <t>Mantenimiento y control de empleados ( realizar los siguientes control y analizar novedades)</t>
  </si>
  <si>
    <t>Control  de descuentos servicios de Internet (Telconet)</t>
  </si>
  <si>
    <t>Control de descuentos servicios de Taxi</t>
  </si>
  <si>
    <t>Control de descuentos por mantenimientos de vehiculos  proveedor externos</t>
  </si>
  <si>
    <t>Gestionar reembolsos, hospedaje, gastos varios</t>
  </si>
  <si>
    <t>Coordinacion de descuentos mantenimiento de vehiculos en el CLSJ</t>
  </si>
  <si>
    <t>Control multas de transito y gestionar descuento.</t>
  </si>
  <si>
    <t xml:space="preserve">Control de Combustible </t>
  </si>
  <si>
    <t>https://www.primax.com.ec/</t>
  </si>
  <si>
    <t xml:space="preserve">Manejo proveedores requerimientos </t>
  </si>
  <si>
    <t xml:space="preserve">Recibir requerimientos , revisar necesidad, y enviar al departamento de compras </t>
  </si>
  <si>
    <t>Control y pedido suministros varios (oficina, limpieza, cafeteria)</t>
  </si>
  <si>
    <t>Manejo proveedor Conecel</t>
  </si>
  <si>
    <t>Solicitar requerimientos ( lineas nuevas, anulacion y reposicion )</t>
  </si>
  <si>
    <t>Gestionar mantenimiento de vehiculos TFE</t>
  </si>
  <si>
    <t>Realizar orden de compra, compartir al proveedor - recibir facturar ingresar a SAP</t>
  </si>
  <si>
    <t xml:space="preserve">SAP - CORREO </t>
  </si>
  <si>
    <t xml:space="preserve">Manejo proveedor </t>
  </si>
  <si>
    <t>Recibir facturas varias ( aproximadamente de TSER 113 ), realizar detalle, cuadradrarlas y ingresar</t>
  </si>
  <si>
    <t xml:space="preserve">Ingresar pedidos en SAP </t>
  </si>
  <si>
    <t xml:space="preserve">Fondearlas para pago . </t>
  </si>
  <si>
    <t>Compartir documento scaneado al departamento de contabilidad para que cierre la factura</t>
  </si>
  <si>
    <t>Hospedajes</t>
  </si>
  <si>
    <t>Revisar bitacora de dias de hospedajes en el hotel SOMAGG HOTEL, e ingresar factura en SAP</t>
  </si>
  <si>
    <t>Ingresar factura por alquiler de departamento peninsula</t>
  </si>
  <si>
    <t>Combustible</t>
  </si>
  <si>
    <t xml:space="preserve">Solicitar tarjetas primax, aumento de Cupo y reposicion </t>
  </si>
  <si>
    <t xml:space="preserve">Descargar detalles de plataforma Atimasa </t>
  </si>
  <si>
    <t>Convertir de PDF a EXCELL detalle de consumos de todas las placas e ingresar los articulos por tipo de combustible, cantidad, CC,  valores x galon y total.</t>
  </si>
  <si>
    <t>Matriculacion Vehicular</t>
  </si>
  <si>
    <t>Enviar mail  valores por matricula y revision de vehiculos TFE</t>
  </si>
  <si>
    <t>Turno de Revision Vehicular</t>
  </si>
  <si>
    <t>PLATAFORMA ATV</t>
  </si>
  <si>
    <t xml:space="preserve">Fondear y gestionar pagos </t>
  </si>
  <si>
    <t>EXEL - CORREO</t>
  </si>
  <si>
    <t xml:space="preserve">Vinculación </t>
  </si>
  <si>
    <t xml:space="preserve">asignación de herramientas de trabajo  </t>
  </si>
  <si>
    <t>inclusión a colaborador en los beneficios</t>
  </si>
  <si>
    <t>Inclusion a sistema de TAG</t>
  </si>
  <si>
    <t>Gestion entrega de Epp</t>
  </si>
  <si>
    <t>Asignar ubicación de Trabajo</t>
  </si>
  <si>
    <t>PRESENCIAL</t>
  </si>
  <si>
    <t xml:space="preserve">Desvinculación </t>
  </si>
  <si>
    <t>Exclusion en el sistema de peajes</t>
  </si>
  <si>
    <t>Anular Linea asignada</t>
  </si>
  <si>
    <t>Acta de devolucion herramientas de trabajo</t>
  </si>
  <si>
    <t xml:space="preserve">Gestion de Usuario </t>
  </si>
  <si>
    <t>Ingresar Powerapps solicitud usuario nuevo</t>
  </si>
  <si>
    <t xml:space="preserve"> Powerapps</t>
  </si>
  <si>
    <t>Ingresar Powerapps Desvincular</t>
  </si>
  <si>
    <t>Pedidos varios</t>
  </si>
  <si>
    <t xml:space="preserve">Canalizar Orden de pedido de pago de los diferentes servicios que se contraten en el centro logístico </t>
  </si>
  <si>
    <t>Realizar actas de entrega de celulares, tablets y laptos</t>
  </si>
  <si>
    <t>Ingresar datos de acta en el sistema.</t>
  </si>
  <si>
    <t>Atencion a Empleado</t>
  </si>
  <si>
    <t xml:space="preserve">Asistencia en plataforma Seguro medico </t>
  </si>
  <si>
    <t xml:space="preserve">Atender y direccionar las necesidades del colaborador  </t>
  </si>
  <si>
    <t xml:space="preserve">Visitas domiciliarias </t>
  </si>
  <si>
    <t xml:space="preserve">Controlar y dirigir  eventos corporativos </t>
  </si>
  <si>
    <t>Acompañar al personal cuando han estados hospitalizados, accidentados</t>
  </si>
  <si>
    <t>Gestion JF</t>
  </si>
  <si>
    <t>Revisar facturas  de Contiviajes Jaime Ferre, solicitarle aprobacion para ingreso</t>
  </si>
  <si>
    <t xml:space="preserve">Ingresar facturas Admitrop  fondear para pago y compartir documento scaneado al departamento de contabilidad para que cierre la factura. </t>
  </si>
  <si>
    <r>
      <t>SEGURIDAD INDUSTRIAL</t>
    </r>
    <r>
      <rPr>
        <sz val="11"/>
        <color theme="1"/>
        <rFont val="Calibri Light"/>
        <family val="2"/>
      </rPr>
      <t xml:space="preserve"> </t>
    </r>
  </si>
  <si>
    <t>Supervisar que se realicen actas de entrega de EPP</t>
  </si>
  <si>
    <t>SEGURIDAD INDUSTRIAL</t>
  </si>
  <si>
    <t>OFICINA</t>
  </si>
  <si>
    <t>Seguimientos a simulacros.</t>
  </si>
  <si>
    <t>Revisar capacitación pendiente, programas de prevención, indicadores de salud</t>
  </si>
  <si>
    <t>Seguimiento al médico de que Coordine actividades con proveedor de medicina ocupacional</t>
  </si>
  <si>
    <t>Realizar junto al técnico de seguridad y medico ocupacionales inspecciones de seguridad</t>
  </si>
  <si>
    <t>Seguimiento al médico ocupacional y técnico de seguridad industrial sobre el plan anual de seguridad y salud</t>
  </si>
  <si>
    <t>Seguimiento a el ingreso de la información anual del SUT e IESS</t>
  </si>
  <si>
    <t>Seguimiento reporte de accidentes laborales e informe ampliatorio en caso de presentarse algún accidente</t>
  </si>
  <si>
    <t>Seguimiento a la reunión trimestral del comité paritario y comités de seguridad y salud y realizar las actas de reunión de las mismas</t>
  </si>
  <si>
    <t>Seguimientos a capacitaciones de seguridad y salud, y jornadas del MSP</t>
  </si>
  <si>
    <t>Gerencia</t>
  </si>
  <si>
    <t>Contabilidad</t>
  </si>
  <si>
    <t>Bodega</t>
  </si>
  <si>
    <t>Comex</t>
  </si>
  <si>
    <t>Supply</t>
  </si>
  <si>
    <t>Certificaciones</t>
  </si>
  <si>
    <t>Proyectos</t>
  </si>
  <si>
    <t>Tesoreria</t>
  </si>
  <si>
    <t>Operaciones Platano</t>
  </si>
  <si>
    <t>Operaciones Banano</t>
  </si>
  <si>
    <t>Logistica</t>
  </si>
  <si>
    <t>Consolidación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</si>
</sst>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 Light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6" fillId="0" borderId="0"/>
    <xf numFmtId="9" fontId="6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9" fontId="1" fillId="3" borderId="1" xfId="2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9" fontId="0" fillId="0" borderId="8" xfId="2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9" fontId="0" fillId="0" borderId="12" xfId="2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9" fontId="0" fillId="0" borderId="13" xfId="2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0" fontId="0" fillId="0" borderId="14" xfId="0" applyBorder="1" applyAlignment="1">
      <alignment horizontal="center" vertical="center" wrapText="1"/>
    </xf>
    <xf numFmtId="9" fontId="0" fillId="0" borderId="14" xfId="2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9" fontId="0" fillId="0" borderId="21" xfId="2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1" fillId="0" borderId="1" xfId="3" applyBorder="1" applyAlignment="1">
      <alignment horizontal="center" vertical="center"/>
    </xf>
    <xf numFmtId="0" fontId="11" fillId="0" borderId="1" xfId="3" applyBorder="1" applyAlignment="1">
      <alignment horizontal="center" vertical="center" wrapText="1"/>
    </xf>
    <xf numFmtId="0" fontId="11" fillId="0" borderId="0" xfId="3" applyAlignment="1">
      <alignment horizontal="center" vertical="center"/>
    </xf>
    <xf numFmtId="0" fontId="0" fillId="0" borderId="10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/>
    <xf numFmtId="9" fontId="0" fillId="0" borderId="0" xfId="2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7" fillId="2" borderId="4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0" fontId="7" fillId="2" borderId="6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9" fontId="0" fillId="0" borderId="9" xfId="2" applyFont="1" applyBorder="1" applyAlignment="1">
      <alignment horizontal="center" vertical="center"/>
    </xf>
    <xf numFmtId="9" fontId="0" fillId="0" borderId="10" xfId="2" applyFont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</cellXfs>
  <cellStyles count="4">
    <cellStyle name="Hipervínculo" xfId="3" builtinId="8"/>
    <cellStyle name="Normal" xfId="0" builtinId="0"/>
    <cellStyle name="Normal 3" xfId="1" xr:uid="{4A2B57F8-51E1-4775-9370-B3B21280ACAC}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56E763DE-E65E-4182-A570-6FA60201E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1257300</xdr:colOff>
      <xdr:row>0</xdr:row>
      <xdr:rowOff>0</xdr:rowOff>
    </xdr:from>
    <xdr:to>
      <xdr:col>1</xdr:col>
      <xdr:colOff>2011680</xdr:colOff>
      <xdr:row>2</xdr:row>
      <xdr:rowOff>144780</xdr:rowOff>
    </xdr:to>
    <xdr:pic>
      <xdr:nvPicPr>
        <xdr:cNvPr id="2" name="Imagen 1" descr="Logotipo&#10;&#10;Descripción generada automáticamente">
          <a:extLst>
            <a:ext uri="{FF2B5EF4-FFF2-40B4-BE49-F238E27FC236}">
              <a16:creationId xmlns:a16="http://schemas.microsoft.com/office/drawing/2014/main" id="{C0E9A792-2D87-4DAA-AD6C-8454EA5F9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>
                      <a14:foregroundMark x1="10704" y1="66168" x2="25070" y2="65794"/>
                      <a14:foregroundMark x1="25070" y1="65794" x2="26197" y2="65421"/>
                      <a14:foregroundMark x1="49014" y1="65607" x2="54930" y2="65421"/>
                      <a14:foregroundMark x1="78028" y1="66168" x2="78028" y2="66168"/>
                      <a14:foregroundMark x1="68732" y1="73271" x2="68732" y2="73271"/>
                      <a14:foregroundMark x1="32958" y1="72523" x2="32958" y2="72523"/>
                      <a14:foregroundMark x1="77183" y1="72336" x2="77183" y2="72336"/>
                      <a14:foregroundMark x1="23380" y1="86168" x2="23380" y2="86168"/>
                      <a14:foregroundMark x1="19437" y1="83738" x2="19437" y2="83738"/>
                      <a14:foregroundMark x1="38310" y1="84860" x2="38310" y2="84860"/>
                      <a14:foregroundMark x1="51549" y1="84112" x2="51549" y2="84112"/>
                      <a14:foregroundMark x1="66197" y1="85421" x2="66197" y2="85421"/>
                      <a14:foregroundMark x1="84225" y1="85607" x2="84225" y2="85607"/>
                      <a14:foregroundMark x1="77746" y1="74953" x2="77746" y2="74953"/>
                      <a14:foregroundMark x1="83944" y1="71215" x2="83944" y2="71215"/>
                      <a14:foregroundMark x1="83944" y1="87477" x2="83944" y2="87477"/>
                      <a14:backgroundMark x1="36901" y1="85421" x2="36901" y2="85421"/>
                      <a14:backgroundMark x1="85634" y1="85607" x2="85634" y2="85607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920240" y="0"/>
          <a:ext cx="754380" cy="5105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pa2.sap.topmanage.cloud/~~troexpec-rdp1/software/html5.html" TargetMode="External"/><Relationship Id="rId13" Type="http://schemas.openxmlformats.org/officeDocument/2006/relationships/hyperlink" Target="https://pa2.sap.topmanage.cloud/~~troexpec-rdp1/software/html5.html" TargetMode="External"/><Relationship Id="rId18" Type="http://schemas.openxmlformats.org/officeDocument/2006/relationships/comments" Target="../comments2.xml"/><Relationship Id="rId3" Type="http://schemas.openxmlformats.org/officeDocument/2006/relationships/hyperlink" Target="https://claroflotas.claro.com.ec/" TargetMode="External"/><Relationship Id="rId7" Type="http://schemas.openxmlformats.org/officeDocument/2006/relationships/hyperlink" Target="https://www.primax.com.ec/" TargetMode="External"/><Relationship Id="rId12" Type="http://schemas.openxmlformats.org/officeDocument/2006/relationships/hyperlink" Target="https://pa2.sap.topmanage.cloud/~~troexpec-rdp1/software/html5.html" TargetMode="External"/><Relationship Id="rId17" Type="http://schemas.openxmlformats.org/officeDocument/2006/relationships/vmlDrawing" Target="../drawings/vmlDrawing2.vml"/><Relationship Id="rId2" Type="http://schemas.openxmlformats.org/officeDocument/2006/relationships/hyperlink" Target="https://pa2.sap.topmanage.cloud/~~troexpec-rdp1/software/html5.html" TargetMode="External"/><Relationship Id="rId16" Type="http://schemas.openxmlformats.org/officeDocument/2006/relationships/drawing" Target="../drawings/drawing2.xml"/><Relationship Id="rId1" Type="http://schemas.openxmlformats.org/officeDocument/2006/relationships/hyperlink" Target="https://tagexpress.club/" TargetMode="External"/><Relationship Id="rId6" Type="http://schemas.openxmlformats.org/officeDocument/2006/relationships/hyperlink" Target="https://www.primax.com.ec/" TargetMode="External"/><Relationship Id="rId11" Type="http://schemas.openxmlformats.org/officeDocument/2006/relationships/hyperlink" Target="https://pa2.sap.topmanage.cloud/~~troexpec-rdp1/software/html5.html" TargetMode="External"/><Relationship Id="rId5" Type="http://schemas.openxmlformats.org/officeDocument/2006/relationships/hyperlink" Target="https://claroflotas.claro.com.ec/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https://pa2.sap.topmanage.cloud/~~troexpec-rdp1/software/html5.html" TargetMode="External"/><Relationship Id="rId4" Type="http://schemas.openxmlformats.org/officeDocument/2006/relationships/hyperlink" Target="https://pa2.sap.topmanage.cloud/~~troexpec-rdp1/software/html5.html" TargetMode="External"/><Relationship Id="rId9" Type="http://schemas.openxmlformats.org/officeDocument/2006/relationships/hyperlink" Target="https://pa2.sap.topmanage.cloud/~~troexpec-rdp1/software/html5.html" TargetMode="External"/><Relationship Id="rId14" Type="http://schemas.openxmlformats.org/officeDocument/2006/relationships/hyperlink" Target="https://pa2.sap.topmanage.cloud/~~troexpec-rdp1/software/html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99566-1C6C-4666-8FCB-713829E984BC}">
  <dimension ref="A1:H62"/>
  <sheetViews>
    <sheetView showGridLines="0" topLeftCell="A6" workbookViewId="0">
      <pane ySplit="1" topLeftCell="A7" activePane="bottomLeft" state="frozen"/>
      <selection pane="bottomLeft" activeCell="E60" sqref="E60"/>
      <selection activeCell="A6" sqref="A6"/>
    </sheetView>
  </sheetViews>
  <sheetFormatPr defaultColWidth="11.42578125" defaultRowHeight="15"/>
  <cols>
    <col min="1" max="1" width="9.7109375" style="1" bestFit="1" customWidth="1"/>
    <col min="2" max="3" width="52.7109375" style="1" customWidth="1"/>
    <col min="4" max="4" width="11.5703125" style="1" bestFit="1" customWidth="1"/>
    <col min="5" max="5" width="9.85546875" style="6" bestFit="1" customWidth="1"/>
    <col min="6" max="6" width="17" style="1" customWidth="1"/>
    <col min="7" max="7" width="27.140625" style="1" customWidth="1"/>
    <col min="8" max="8" width="44" style="1" customWidth="1"/>
  </cols>
  <sheetData>
    <row r="1" spans="1:8" ht="14.45" customHeight="1">
      <c r="A1" s="63"/>
      <c r="B1" s="64"/>
      <c r="C1" s="69" t="s">
        <v>0</v>
      </c>
      <c r="D1" s="69"/>
      <c r="E1" s="69"/>
      <c r="F1" s="69"/>
      <c r="G1" s="69"/>
      <c r="H1" s="10" t="s">
        <v>1</v>
      </c>
    </row>
    <row r="2" spans="1:8" ht="14.45" customHeight="1">
      <c r="A2" s="65"/>
      <c r="B2" s="66"/>
      <c r="C2" s="69"/>
      <c r="D2" s="69"/>
      <c r="E2" s="69"/>
      <c r="F2" s="69"/>
      <c r="G2" s="69"/>
      <c r="H2" s="10" t="s">
        <v>2</v>
      </c>
    </row>
    <row r="3" spans="1:8" ht="14.45" customHeight="1">
      <c r="A3" s="67"/>
      <c r="B3" s="68"/>
      <c r="C3" s="69"/>
      <c r="D3" s="69"/>
      <c r="E3" s="69"/>
      <c r="F3" s="69"/>
      <c r="G3" s="69"/>
      <c r="H3" s="10" t="s">
        <v>3</v>
      </c>
    </row>
    <row r="4" spans="1:8" ht="14.45" customHeight="1">
      <c r="A4" s="70" t="s">
        <v>4</v>
      </c>
      <c r="B4" s="70"/>
      <c r="C4" s="70" t="s">
        <v>5</v>
      </c>
      <c r="D4" s="70"/>
      <c r="E4" s="70"/>
      <c r="F4" s="70"/>
      <c r="G4" s="70"/>
      <c r="H4" s="10" t="s">
        <v>6</v>
      </c>
    </row>
    <row r="5" spans="1:8" ht="14.45" customHeight="1">
      <c r="A5" s="70" t="s">
        <v>7</v>
      </c>
      <c r="B5" s="70"/>
      <c r="C5" s="70"/>
      <c r="D5" s="70"/>
      <c r="E5" s="70"/>
      <c r="F5" s="70"/>
      <c r="G5" s="70"/>
      <c r="H5" s="10" t="s">
        <v>8</v>
      </c>
    </row>
    <row r="7" spans="1:8">
      <c r="A7" s="7" t="s">
        <v>9</v>
      </c>
      <c r="B7" s="2" t="s">
        <v>10</v>
      </c>
      <c r="C7" s="3"/>
      <c r="D7" s="3"/>
      <c r="E7" s="4"/>
      <c r="F7" s="3"/>
      <c r="G7" s="3"/>
      <c r="H7" s="3"/>
    </row>
    <row r="8" spans="1:8">
      <c r="A8" s="7" t="s">
        <v>11</v>
      </c>
      <c r="B8" s="2" t="s">
        <v>12</v>
      </c>
      <c r="C8" s="3"/>
      <c r="D8" s="3"/>
      <c r="E8" s="4"/>
      <c r="F8" s="3"/>
      <c r="G8" s="3"/>
      <c r="H8" s="3"/>
    </row>
    <row r="9" spans="1:8">
      <c r="A9" s="8" t="s">
        <v>13</v>
      </c>
      <c r="B9" s="1" t="s">
        <v>14</v>
      </c>
      <c r="C9" s="3"/>
      <c r="D9" s="3"/>
      <c r="E9" s="4"/>
      <c r="F9" s="3"/>
      <c r="G9" s="3"/>
      <c r="H9" s="3"/>
    </row>
    <row r="10" spans="1:8" ht="9.6" customHeight="1">
      <c r="A10" s="3"/>
      <c r="B10" s="3"/>
      <c r="C10" s="3"/>
      <c r="D10" s="3"/>
      <c r="E10" s="4"/>
      <c r="F10" s="3"/>
      <c r="G10" s="3"/>
      <c r="H10" s="3"/>
    </row>
    <row r="11" spans="1:8" s="1" customFormat="1" ht="27.6" customHeight="1">
      <c r="A11" s="7" t="s">
        <v>15</v>
      </c>
      <c r="B11" s="7" t="s">
        <v>16</v>
      </c>
      <c r="C11" s="7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</row>
    <row r="12" spans="1:8" ht="35.25" customHeight="1">
      <c r="A12" s="2">
        <v>1</v>
      </c>
      <c r="B12" s="11" t="s">
        <v>23</v>
      </c>
      <c r="C12" s="11" t="s">
        <v>24</v>
      </c>
      <c r="D12" s="2" t="s">
        <v>25</v>
      </c>
      <c r="E12" s="5">
        <v>0.02</v>
      </c>
      <c r="F12" s="2" t="s">
        <v>26</v>
      </c>
      <c r="G12" s="2" t="s">
        <v>27</v>
      </c>
      <c r="H12" s="2" t="s">
        <v>28</v>
      </c>
    </row>
    <row r="13" spans="1:8" ht="79.5" customHeight="1">
      <c r="A13" s="2">
        <v>2</v>
      </c>
      <c r="B13" s="2" t="s">
        <v>29</v>
      </c>
      <c r="C13" s="11" t="s">
        <v>30</v>
      </c>
      <c r="D13" s="2" t="s">
        <v>25</v>
      </c>
      <c r="E13" s="5">
        <v>0.04</v>
      </c>
      <c r="F13" s="2" t="s">
        <v>26</v>
      </c>
      <c r="G13" s="2" t="s">
        <v>31</v>
      </c>
      <c r="H13" s="2" t="s">
        <v>28</v>
      </c>
    </row>
    <row r="14" spans="1:8" ht="27.6" customHeight="1">
      <c r="A14" s="2">
        <v>3</v>
      </c>
      <c r="B14" s="2" t="s">
        <v>32</v>
      </c>
      <c r="C14" s="2" t="s">
        <v>33</v>
      </c>
      <c r="D14" s="2" t="s">
        <v>25</v>
      </c>
      <c r="E14" s="5">
        <v>0.05</v>
      </c>
      <c r="F14" s="2" t="s">
        <v>26</v>
      </c>
      <c r="G14" s="2" t="s">
        <v>31</v>
      </c>
      <c r="H14" s="2" t="s">
        <v>28</v>
      </c>
    </row>
    <row r="15" spans="1:8" ht="36" customHeight="1">
      <c r="A15" s="50">
        <v>4</v>
      </c>
      <c r="B15" s="60" t="s">
        <v>34</v>
      </c>
      <c r="C15" s="11" t="s">
        <v>35</v>
      </c>
      <c r="D15" s="2" t="s">
        <v>36</v>
      </c>
      <c r="E15" s="5">
        <v>0.02</v>
      </c>
      <c r="F15" s="2" t="s">
        <v>26</v>
      </c>
      <c r="G15" s="2" t="s">
        <v>37</v>
      </c>
      <c r="H15" s="2" t="s">
        <v>28</v>
      </c>
    </row>
    <row r="16" spans="1:8" ht="49.5" customHeight="1">
      <c r="A16" s="51"/>
      <c r="B16" s="61"/>
      <c r="C16" s="11" t="s">
        <v>38</v>
      </c>
      <c r="D16" s="2" t="s">
        <v>36</v>
      </c>
      <c r="E16" s="5">
        <v>0.05</v>
      </c>
      <c r="F16" s="2" t="s">
        <v>26</v>
      </c>
      <c r="G16" s="2" t="s">
        <v>39</v>
      </c>
      <c r="H16" s="2" t="s">
        <v>28</v>
      </c>
    </row>
    <row r="17" spans="1:8" ht="49.5" customHeight="1">
      <c r="A17" s="51"/>
      <c r="B17" s="61"/>
      <c r="C17" s="11" t="s">
        <v>40</v>
      </c>
      <c r="D17" s="2" t="s">
        <v>41</v>
      </c>
      <c r="E17" s="5" t="s">
        <v>42</v>
      </c>
      <c r="F17" s="2" t="s">
        <v>26</v>
      </c>
      <c r="G17" s="2" t="s">
        <v>31</v>
      </c>
      <c r="H17" s="2" t="s">
        <v>28</v>
      </c>
    </row>
    <row r="18" spans="1:8" ht="27.75" customHeight="1">
      <c r="A18" s="52"/>
      <c r="B18" s="62"/>
      <c r="C18" s="11" t="s">
        <v>43</v>
      </c>
      <c r="D18" s="2" t="s">
        <v>36</v>
      </c>
      <c r="E18" s="5" t="s">
        <v>44</v>
      </c>
      <c r="F18" s="2" t="s">
        <v>26</v>
      </c>
      <c r="G18" s="2"/>
      <c r="H18" s="2" t="s">
        <v>28</v>
      </c>
    </row>
    <row r="19" spans="1:8" ht="81.75" customHeight="1">
      <c r="A19" s="2">
        <v>5</v>
      </c>
      <c r="B19" s="15" t="s">
        <v>45</v>
      </c>
      <c r="C19" s="11" t="s">
        <v>46</v>
      </c>
      <c r="D19" s="2" t="s">
        <v>36</v>
      </c>
      <c r="E19" s="5" t="s">
        <v>44</v>
      </c>
      <c r="F19" s="2" t="s">
        <v>26</v>
      </c>
      <c r="G19" s="2" t="s">
        <v>47</v>
      </c>
      <c r="H19" s="2" t="s">
        <v>28</v>
      </c>
    </row>
    <row r="20" spans="1:8" ht="37.5" customHeight="1">
      <c r="A20" s="2">
        <v>6</v>
      </c>
      <c r="B20" s="2" t="s">
        <v>48</v>
      </c>
      <c r="C20" s="11" t="s">
        <v>49</v>
      </c>
      <c r="D20" s="2" t="s">
        <v>50</v>
      </c>
      <c r="E20" s="5">
        <v>0.05</v>
      </c>
      <c r="F20" s="2" t="s">
        <v>26</v>
      </c>
      <c r="G20" s="2" t="s">
        <v>51</v>
      </c>
      <c r="H20" s="2" t="s">
        <v>28</v>
      </c>
    </row>
    <row r="21" spans="1:8" ht="56.25" customHeight="1">
      <c r="A21" s="2">
        <v>7</v>
      </c>
      <c r="B21" s="2" t="s">
        <v>52</v>
      </c>
      <c r="C21" s="11" t="s">
        <v>53</v>
      </c>
      <c r="D21" s="2" t="s">
        <v>54</v>
      </c>
      <c r="E21" s="5">
        <v>0.05</v>
      </c>
      <c r="F21" s="2" t="s">
        <v>26</v>
      </c>
      <c r="G21" s="2" t="s">
        <v>37</v>
      </c>
      <c r="H21" s="2" t="s">
        <v>28</v>
      </c>
    </row>
    <row r="22" spans="1:8" ht="66.75" customHeight="1">
      <c r="A22" s="2">
        <v>8</v>
      </c>
      <c r="B22" s="2" t="s">
        <v>55</v>
      </c>
      <c r="C22" s="11" t="s">
        <v>56</v>
      </c>
      <c r="D22" s="2" t="s">
        <v>25</v>
      </c>
      <c r="E22" s="5">
        <v>0.08</v>
      </c>
      <c r="F22" s="2" t="s">
        <v>26</v>
      </c>
      <c r="G22" s="2" t="s">
        <v>57</v>
      </c>
      <c r="H22" s="2" t="s">
        <v>28</v>
      </c>
    </row>
    <row r="23" spans="1:8" ht="52.5" customHeight="1">
      <c r="A23" s="50">
        <v>9</v>
      </c>
      <c r="B23" s="50" t="s">
        <v>58</v>
      </c>
      <c r="C23" s="11" t="s">
        <v>59</v>
      </c>
      <c r="D23" s="2" t="s">
        <v>36</v>
      </c>
      <c r="E23" s="5" t="s">
        <v>44</v>
      </c>
      <c r="F23" s="2" t="s">
        <v>26</v>
      </c>
      <c r="G23" s="2" t="s">
        <v>31</v>
      </c>
      <c r="H23" s="2" t="s">
        <v>28</v>
      </c>
    </row>
    <row r="24" spans="1:8" ht="51" customHeight="1">
      <c r="A24" s="52"/>
      <c r="B24" s="52"/>
      <c r="C24" s="11" t="s">
        <v>60</v>
      </c>
      <c r="D24" s="2" t="s">
        <v>36</v>
      </c>
      <c r="E24" s="5" t="s">
        <v>44</v>
      </c>
      <c r="F24" s="2" t="s">
        <v>26</v>
      </c>
      <c r="G24" s="2" t="s">
        <v>61</v>
      </c>
      <c r="H24" s="2" t="s">
        <v>28</v>
      </c>
    </row>
    <row r="25" spans="1:8" ht="54.75" customHeight="1">
      <c r="A25" s="50">
        <v>10</v>
      </c>
      <c r="B25" s="50" t="s">
        <v>62</v>
      </c>
      <c r="C25" s="11" t="s">
        <v>63</v>
      </c>
      <c r="D25" s="2" t="s">
        <v>36</v>
      </c>
      <c r="E25" s="5">
        <v>0.05</v>
      </c>
      <c r="F25" s="2" t="s">
        <v>26</v>
      </c>
      <c r="G25" s="2" t="s">
        <v>47</v>
      </c>
      <c r="H25" s="2" t="s">
        <v>28</v>
      </c>
    </row>
    <row r="26" spans="1:8" ht="37.5" customHeight="1">
      <c r="A26" s="51"/>
      <c r="B26" s="51"/>
      <c r="C26" s="11" t="s">
        <v>64</v>
      </c>
      <c r="D26" s="2" t="s">
        <v>54</v>
      </c>
      <c r="E26" s="5">
        <v>0.02</v>
      </c>
      <c r="F26" s="2" t="s">
        <v>26</v>
      </c>
      <c r="G26" s="2" t="s">
        <v>47</v>
      </c>
      <c r="H26" s="2" t="s">
        <v>28</v>
      </c>
    </row>
    <row r="27" spans="1:8" ht="48" customHeight="1">
      <c r="A27" s="52"/>
      <c r="B27" s="52"/>
      <c r="C27" s="11" t="s">
        <v>65</v>
      </c>
      <c r="D27" s="2" t="s">
        <v>36</v>
      </c>
      <c r="E27" s="5" t="s">
        <v>44</v>
      </c>
      <c r="F27" s="2" t="s">
        <v>26</v>
      </c>
      <c r="G27" s="2"/>
      <c r="H27" s="2" t="s">
        <v>28</v>
      </c>
    </row>
    <row r="28" spans="1:8" ht="54" customHeight="1">
      <c r="A28" s="50">
        <v>11</v>
      </c>
      <c r="B28" s="50" t="s">
        <v>66</v>
      </c>
      <c r="C28" s="11" t="s">
        <v>67</v>
      </c>
      <c r="D28" s="2" t="s">
        <v>68</v>
      </c>
      <c r="E28" s="5">
        <v>0.04</v>
      </c>
      <c r="F28" s="2" t="s">
        <v>26</v>
      </c>
      <c r="G28" s="2" t="s">
        <v>69</v>
      </c>
      <c r="H28" s="2" t="s">
        <v>28</v>
      </c>
    </row>
    <row r="29" spans="1:8" ht="54" customHeight="1">
      <c r="A29" s="51"/>
      <c r="B29" s="51"/>
      <c r="C29" s="11" t="s">
        <v>70</v>
      </c>
      <c r="D29" s="2" t="s">
        <v>68</v>
      </c>
      <c r="E29" s="5">
        <v>0.04</v>
      </c>
      <c r="F29" s="2" t="s">
        <v>26</v>
      </c>
      <c r="G29" s="2" t="s">
        <v>69</v>
      </c>
      <c r="H29" s="2" t="s">
        <v>28</v>
      </c>
    </row>
    <row r="30" spans="1:8" ht="51" customHeight="1">
      <c r="A30" s="52"/>
      <c r="B30" s="52"/>
      <c r="C30" s="11" t="s">
        <v>71</v>
      </c>
      <c r="D30" s="2" t="s">
        <v>68</v>
      </c>
      <c r="E30" s="5">
        <v>0.04</v>
      </c>
      <c r="F30" s="2" t="s">
        <v>26</v>
      </c>
      <c r="G30" s="2" t="s">
        <v>69</v>
      </c>
      <c r="H30" s="2" t="s">
        <v>28</v>
      </c>
    </row>
    <row r="31" spans="1:8" ht="38.25" customHeight="1">
      <c r="A31" s="50">
        <v>12</v>
      </c>
      <c r="B31" s="50" t="s">
        <v>72</v>
      </c>
      <c r="C31" s="11" t="s">
        <v>73</v>
      </c>
      <c r="D31" s="2" t="s">
        <v>68</v>
      </c>
      <c r="E31" s="5" t="s">
        <v>44</v>
      </c>
      <c r="F31" s="2" t="s">
        <v>26</v>
      </c>
      <c r="G31" s="2" t="s">
        <v>51</v>
      </c>
      <c r="H31" s="2" t="s">
        <v>28</v>
      </c>
    </row>
    <row r="32" spans="1:8" ht="45" customHeight="1">
      <c r="A32" s="52"/>
      <c r="B32" s="52"/>
      <c r="C32" s="11" t="s">
        <v>74</v>
      </c>
      <c r="D32" s="2" t="s">
        <v>75</v>
      </c>
      <c r="E32" s="5">
        <v>0.02</v>
      </c>
      <c r="F32" s="2" t="s">
        <v>26</v>
      </c>
      <c r="G32" s="2" t="s">
        <v>51</v>
      </c>
      <c r="H32" s="2" t="s">
        <v>28</v>
      </c>
    </row>
    <row r="33" spans="1:8" ht="67.5" customHeight="1">
      <c r="A33" s="2">
        <v>13</v>
      </c>
      <c r="B33" s="2" t="s">
        <v>76</v>
      </c>
      <c r="C33" s="14" t="s">
        <v>77</v>
      </c>
      <c r="D33" s="12" t="s">
        <v>78</v>
      </c>
      <c r="E33" s="16">
        <v>0.05</v>
      </c>
      <c r="F33" s="2" t="s">
        <v>26</v>
      </c>
      <c r="G33" s="12" t="s">
        <v>51</v>
      </c>
      <c r="H33" s="2" t="s">
        <v>28</v>
      </c>
    </row>
    <row r="34" spans="1:8" ht="65.25" customHeight="1" thickBot="1">
      <c r="A34" s="50">
        <v>14</v>
      </c>
      <c r="B34" s="58" t="s">
        <v>79</v>
      </c>
      <c r="C34" s="35" t="s">
        <v>80</v>
      </c>
      <c r="D34" s="25" t="s">
        <v>36</v>
      </c>
      <c r="E34" s="26" t="s">
        <v>44</v>
      </c>
      <c r="F34" s="2" t="s">
        <v>26</v>
      </c>
      <c r="G34" s="25" t="s">
        <v>51</v>
      </c>
      <c r="H34" s="2" t="s">
        <v>28</v>
      </c>
    </row>
    <row r="35" spans="1:8" ht="33.75" customHeight="1">
      <c r="A35" s="51"/>
      <c r="B35" s="59"/>
      <c r="C35" s="33" t="s">
        <v>81</v>
      </c>
      <c r="D35" s="27" t="s">
        <v>54</v>
      </c>
      <c r="E35" s="34" t="s">
        <v>44</v>
      </c>
      <c r="F35" s="2" t="s">
        <v>26</v>
      </c>
      <c r="G35" s="27" t="s">
        <v>27</v>
      </c>
      <c r="H35" s="2" t="s">
        <v>28</v>
      </c>
    </row>
    <row r="36" spans="1:8" ht="39" customHeight="1">
      <c r="A36" s="51"/>
      <c r="B36" s="51"/>
      <c r="C36" s="15" t="s">
        <v>82</v>
      </c>
      <c r="D36" s="13" t="s">
        <v>36</v>
      </c>
      <c r="E36" s="32" t="s">
        <v>44</v>
      </c>
      <c r="F36" s="2" t="s">
        <v>26</v>
      </c>
      <c r="G36" s="13" t="s">
        <v>51</v>
      </c>
      <c r="H36" s="2" t="s">
        <v>28</v>
      </c>
    </row>
    <row r="37" spans="1:8" ht="48.75" customHeight="1">
      <c r="A37" s="51"/>
      <c r="B37" s="51"/>
      <c r="C37" s="11" t="s">
        <v>83</v>
      </c>
      <c r="D37" s="2" t="s">
        <v>36</v>
      </c>
      <c r="E37" s="5">
        <v>0.05</v>
      </c>
      <c r="F37" s="2" t="s">
        <v>26</v>
      </c>
      <c r="G37" s="2" t="s">
        <v>84</v>
      </c>
      <c r="H37" s="2" t="s">
        <v>28</v>
      </c>
    </row>
    <row r="38" spans="1:8" ht="48" customHeight="1">
      <c r="A38" s="51"/>
      <c r="B38" s="51"/>
      <c r="C38" s="11" t="s">
        <v>85</v>
      </c>
      <c r="D38" s="2" t="s">
        <v>36</v>
      </c>
      <c r="E38" s="5">
        <v>0.01</v>
      </c>
      <c r="F38" s="2" t="s">
        <v>26</v>
      </c>
      <c r="G38" s="2"/>
      <c r="H38" s="2" t="s">
        <v>28</v>
      </c>
    </row>
    <row r="39" spans="1:8" ht="48" customHeight="1">
      <c r="A39" s="52"/>
      <c r="B39" s="52"/>
      <c r="C39" s="11" t="s">
        <v>86</v>
      </c>
      <c r="D39" s="2" t="s">
        <v>36</v>
      </c>
      <c r="E39" s="5">
        <v>0.01</v>
      </c>
      <c r="F39" s="2" t="s">
        <v>26</v>
      </c>
      <c r="G39" s="2"/>
      <c r="H39" s="2" t="s">
        <v>28</v>
      </c>
    </row>
    <row r="40" spans="1:8" ht="57.75" customHeight="1">
      <c r="A40" s="2">
        <v>15</v>
      </c>
      <c r="B40" s="11" t="s">
        <v>87</v>
      </c>
      <c r="C40" s="11" t="s">
        <v>88</v>
      </c>
      <c r="D40" s="2" t="s">
        <v>25</v>
      </c>
      <c r="E40" s="5">
        <v>0.03</v>
      </c>
      <c r="F40" s="2" t="s">
        <v>26</v>
      </c>
      <c r="G40" s="2"/>
      <c r="H40" s="2" t="s">
        <v>28</v>
      </c>
    </row>
    <row r="41" spans="1:8" ht="57.75" customHeight="1">
      <c r="A41" s="12">
        <v>16</v>
      </c>
      <c r="B41" s="14" t="s">
        <v>89</v>
      </c>
      <c r="C41" s="11" t="s">
        <v>90</v>
      </c>
      <c r="D41" s="2" t="s">
        <v>25</v>
      </c>
      <c r="E41" s="16" t="s">
        <v>42</v>
      </c>
      <c r="F41" s="2" t="s">
        <v>26</v>
      </c>
      <c r="G41" s="12"/>
      <c r="H41" s="2" t="s">
        <v>28</v>
      </c>
    </row>
    <row r="42" spans="1:8" ht="38.25" customHeight="1">
      <c r="A42" s="50">
        <v>17</v>
      </c>
      <c r="B42" s="60" t="s">
        <v>91</v>
      </c>
      <c r="C42" s="11" t="s">
        <v>92</v>
      </c>
      <c r="D42" s="22" t="s">
        <v>25</v>
      </c>
      <c r="E42" s="24">
        <v>0.01</v>
      </c>
      <c r="F42" s="2" t="s">
        <v>26</v>
      </c>
      <c r="G42" s="37" t="s">
        <v>51</v>
      </c>
      <c r="H42" s="2" t="s">
        <v>28</v>
      </c>
    </row>
    <row r="43" spans="1:8" ht="41.25" customHeight="1">
      <c r="A43" s="51"/>
      <c r="B43" s="61"/>
      <c r="C43" s="11" t="s">
        <v>93</v>
      </c>
      <c r="D43" s="22" t="s">
        <v>36</v>
      </c>
      <c r="E43" s="36">
        <v>0.01</v>
      </c>
      <c r="F43" s="2" t="s">
        <v>26</v>
      </c>
      <c r="G43" s="23" t="s">
        <v>94</v>
      </c>
      <c r="H43" s="2" t="s">
        <v>28</v>
      </c>
    </row>
    <row r="44" spans="1:8" ht="55.5" customHeight="1">
      <c r="A44" s="52"/>
      <c r="B44" s="62"/>
      <c r="C44" s="11" t="s">
        <v>95</v>
      </c>
      <c r="D44" s="22" t="s">
        <v>36</v>
      </c>
      <c r="E44" s="24">
        <v>0.05</v>
      </c>
      <c r="F44" s="2" t="s">
        <v>26</v>
      </c>
      <c r="G44" s="27" t="s">
        <v>96</v>
      </c>
      <c r="H44" s="2" t="s">
        <v>28</v>
      </c>
    </row>
    <row r="45" spans="1:8" ht="72" customHeight="1">
      <c r="A45" s="2">
        <v>18</v>
      </c>
      <c r="B45" s="11" t="s">
        <v>97</v>
      </c>
      <c r="C45" s="11" t="s">
        <v>98</v>
      </c>
      <c r="D45" s="2" t="s">
        <v>68</v>
      </c>
      <c r="E45" s="32">
        <v>0.05</v>
      </c>
      <c r="F45" s="2" t="s">
        <v>26</v>
      </c>
      <c r="G45" s="13" t="s">
        <v>51</v>
      </c>
      <c r="H45" s="2" t="s">
        <v>28</v>
      </c>
    </row>
    <row r="46" spans="1:8" ht="86.25" customHeight="1">
      <c r="A46" s="2">
        <v>19</v>
      </c>
      <c r="B46" s="11" t="s">
        <v>99</v>
      </c>
      <c r="C46" s="11" t="s">
        <v>100</v>
      </c>
      <c r="D46" s="2" t="s">
        <v>68</v>
      </c>
      <c r="E46" s="5">
        <v>0.05</v>
      </c>
      <c r="F46" s="2" t="s">
        <v>26</v>
      </c>
      <c r="G46" s="2" t="s">
        <v>51</v>
      </c>
      <c r="H46" s="2" t="s">
        <v>28</v>
      </c>
    </row>
    <row r="47" spans="1:8" ht="29.25" customHeight="1">
      <c r="A47" s="50">
        <v>20</v>
      </c>
      <c r="B47" s="50" t="s">
        <v>101</v>
      </c>
      <c r="C47" s="2" t="s">
        <v>102</v>
      </c>
      <c r="D47" s="2" t="s">
        <v>68</v>
      </c>
      <c r="E47" s="5">
        <v>0.05</v>
      </c>
      <c r="F47" s="2" t="s">
        <v>26</v>
      </c>
      <c r="G47" s="2" t="s">
        <v>51</v>
      </c>
      <c r="H47" s="2" t="s">
        <v>28</v>
      </c>
    </row>
    <row r="48" spans="1:8" ht="38.25" customHeight="1">
      <c r="A48" s="51"/>
      <c r="B48" s="51"/>
      <c r="C48" s="11" t="s">
        <v>103</v>
      </c>
      <c r="D48" s="2" t="s">
        <v>68</v>
      </c>
      <c r="E48" s="5">
        <v>0.01</v>
      </c>
      <c r="F48" s="2" t="s">
        <v>26</v>
      </c>
      <c r="G48" s="2" t="s">
        <v>51</v>
      </c>
      <c r="H48" s="2" t="s">
        <v>28</v>
      </c>
    </row>
    <row r="49" spans="1:8" ht="48" customHeight="1">
      <c r="A49" s="52"/>
      <c r="B49" s="52"/>
      <c r="C49" s="11" t="s">
        <v>104</v>
      </c>
      <c r="D49" s="2" t="s">
        <v>68</v>
      </c>
      <c r="E49" s="5" t="s">
        <v>44</v>
      </c>
      <c r="F49" s="2" t="s">
        <v>26</v>
      </c>
      <c r="G49" s="2" t="s">
        <v>51</v>
      </c>
      <c r="H49" s="2" t="s">
        <v>28</v>
      </c>
    </row>
    <row r="50" spans="1:8" ht="72.75" customHeight="1">
      <c r="A50" s="2">
        <v>21</v>
      </c>
      <c r="B50" s="2" t="s">
        <v>105</v>
      </c>
      <c r="C50" s="11" t="s">
        <v>106</v>
      </c>
      <c r="D50" s="2" t="s">
        <v>107</v>
      </c>
      <c r="E50" s="5">
        <v>0.05</v>
      </c>
      <c r="F50" s="2" t="s">
        <v>26</v>
      </c>
      <c r="G50" s="2" t="s">
        <v>108</v>
      </c>
      <c r="H50" s="2" t="s">
        <v>28</v>
      </c>
    </row>
    <row r="51" spans="1:8" ht="53.25" customHeight="1">
      <c r="A51" s="50">
        <v>22</v>
      </c>
      <c r="B51" s="50" t="s">
        <v>109</v>
      </c>
      <c r="C51" s="11" t="s">
        <v>110</v>
      </c>
      <c r="D51" s="2" t="s">
        <v>36</v>
      </c>
      <c r="E51" s="5" t="s">
        <v>44</v>
      </c>
      <c r="F51" s="2" t="s">
        <v>26</v>
      </c>
      <c r="G51" s="2"/>
      <c r="H51" s="2" t="s">
        <v>28</v>
      </c>
    </row>
    <row r="52" spans="1:8" ht="53.25" customHeight="1">
      <c r="A52" s="51"/>
      <c r="B52" s="51"/>
      <c r="C52" s="11" t="s">
        <v>111</v>
      </c>
      <c r="D52" s="2" t="s">
        <v>36</v>
      </c>
      <c r="E52" s="5" t="s">
        <v>44</v>
      </c>
      <c r="F52" s="2" t="s">
        <v>26</v>
      </c>
      <c r="G52" s="2" t="s">
        <v>31</v>
      </c>
      <c r="H52" s="2" t="s">
        <v>28</v>
      </c>
    </row>
    <row r="53" spans="1:8" ht="33" customHeight="1">
      <c r="A53" s="52"/>
      <c r="B53" s="51"/>
      <c r="C53" s="14" t="s">
        <v>112</v>
      </c>
      <c r="D53" s="12" t="s">
        <v>36</v>
      </c>
      <c r="E53" s="16" t="s">
        <v>44</v>
      </c>
      <c r="F53" s="2" t="s">
        <v>26</v>
      </c>
      <c r="G53" s="12" t="s">
        <v>31</v>
      </c>
      <c r="H53" s="2" t="s">
        <v>28</v>
      </c>
    </row>
    <row r="54" spans="1:8" ht="27.6" customHeight="1">
      <c r="A54" s="2">
        <v>23</v>
      </c>
      <c r="B54" s="28" t="s">
        <v>113</v>
      </c>
      <c r="C54" s="29" t="s">
        <v>114</v>
      </c>
      <c r="D54" s="30" t="s">
        <v>50</v>
      </c>
      <c r="E54" s="31" t="s">
        <v>44</v>
      </c>
      <c r="F54" s="2" t="s">
        <v>26</v>
      </c>
      <c r="G54" s="30" t="s">
        <v>51</v>
      </c>
      <c r="H54" s="2" t="s">
        <v>28</v>
      </c>
    </row>
    <row r="55" spans="1:8" ht="27.6" customHeight="1">
      <c r="A55" s="53">
        <v>24</v>
      </c>
      <c r="B55" s="56" t="s">
        <v>115</v>
      </c>
      <c r="C55" s="27" t="s">
        <v>116</v>
      </c>
      <c r="D55" s="23" t="s">
        <v>41</v>
      </c>
      <c r="E55" s="24" t="s">
        <v>117</v>
      </c>
      <c r="F55" s="2" t="s">
        <v>26</v>
      </c>
      <c r="G55" s="23"/>
      <c r="H55" s="2" t="s">
        <v>118</v>
      </c>
    </row>
    <row r="56" spans="1:8" ht="27.6" customHeight="1">
      <c r="A56" s="54"/>
      <c r="B56" s="57"/>
      <c r="C56" s="23" t="s">
        <v>119</v>
      </c>
      <c r="D56" s="23" t="s">
        <v>41</v>
      </c>
      <c r="E56" s="24" t="s">
        <v>44</v>
      </c>
      <c r="F56" s="2" t="s">
        <v>26</v>
      </c>
      <c r="G56" s="23" t="s">
        <v>31</v>
      </c>
      <c r="H56" s="2" t="s">
        <v>28</v>
      </c>
    </row>
    <row r="57" spans="1:8" ht="27.6" customHeight="1">
      <c r="A57" s="55"/>
      <c r="B57" s="57"/>
      <c r="C57" s="23" t="s">
        <v>120</v>
      </c>
      <c r="D57" s="23" t="s">
        <v>121</v>
      </c>
      <c r="E57" s="24" t="s">
        <v>44</v>
      </c>
      <c r="F57" s="2" t="s">
        <v>26</v>
      </c>
      <c r="G57" s="23"/>
      <c r="H57" s="2" t="s">
        <v>118</v>
      </c>
    </row>
    <row r="59" spans="1:8">
      <c r="E59" s="6">
        <f>SUM(E12:E57)</f>
        <v>1.0000000000000004</v>
      </c>
    </row>
    <row r="62" spans="1:8">
      <c r="B62" s="1" t="s">
        <v>122</v>
      </c>
      <c r="C62" s="1" t="s">
        <v>123</v>
      </c>
      <c r="D62" s="1" t="s">
        <v>124</v>
      </c>
      <c r="H62" s="1" t="s">
        <v>125</v>
      </c>
    </row>
  </sheetData>
  <mergeCells count="25">
    <mergeCell ref="A1:B3"/>
    <mergeCell ref="C1:G3"/>
    <mergeCell ref="A4:B4"/>
    <mergeCell ref="C4:G5"/>
    <mergeCell ref="A5:B5"/>
    <mergeCell ref="B31:B32"/>
    <mergeCell ref="A15:A18"/>
    <mergeCell ref="A25:A27"/>
    <mergeCell ref="A28:A30"/>
    <mergeCell ref="A31:A32"/>
    <mergeCell ref="B23:B24"/>
    <mergeCell ref="A23:A24"/>
    <mergeCell ref="B15:B18"/>
    <mergeCell ref="B25:B27"/>
    <mergeCell ref="B28:B30"/>
    <mergeCell ref="A34:A39"/>
    <mergeCell ref="A55:A57"/>
    <mergeCell ref="A51:A53"/>
    <mergeCell ref="B47:B49"/>
    <mergeCell ref="A47:A49"/>
    <mergeCell ref="B55:B57"/>
    <mergeCell ref="B34:B39"/>
    <mergeCell ref="B51:B53"/>
    <mergeCell ref="B42:B44"/>
    <mergeCell ref="A42:A44"/>
  </mergeCells>
  <pageMargins left="0.7" right="0.7" top="0.75" bottom="0.75" header="0.3" footer="0.3"/>
  <pageSetup paperSize="9" orientation="portrait" verticalDpi="0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0220009-66D3-456D-B9FC-2937C5A83EB2}">
          <x14:formula1>
            <xm:f>Hoja1!$A$1:$A$8</xm:f>
          </x14:formula1>
          <xm:sqref>D12:D57</xm:sqref>
        </x14:dataValidation>
        <x14:dataValidation type="list" allowBlank="1" showInputMessage="1" showErrorMessage="1" xr:uid="{99B8E4C4-507F-426E-94B3-B924894A04C3}">
          <x14:formula1>
            <xm:f>Hoja1!$B$1:$B$14</xm:f>
          </x14:formula1>
          <xm:sqref>F12:F57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5D6A-2A6A-43BC-93B7-331D8E040AD8}">
  <dimension ref="A1:I45"/>
  <sheetViews>
    <sheetView tabSelected="1" topLeftCell="A17" workbookViewId="0">
      <selection activeCell="C22" sqref="C22"/>
    </sheetView>
  </sheetViews>
  <sheetFormatPr defaultRowHeight="15"/>
  <cols>
    <col min="2" max="2" width="38.5703125" customWidth="1"/>
    <col min="3" max="3" width="42.85546875" customWidth="1"/>
    <col min="4" max="8" width="20" customWidth="1"/>
  </cols>
  <sheetData>
    <row r="1" spans="1:9">
      <c r="A1" s="63"/>
      <c r="B1" s="64"/>
      <c r="C1" s="69" t="s">
        <v>0</v>
      </c>
      <c r="D1" s="69"/>
      <c r="E1" s="69"/>
      <c r="F1" s="69"/>
      <c r="G1" s="69"/>
      <c r="H1" s="10" t="s">
        <v>1</v>
      </c>
    </row>
    <row r="2" spans="1:9">
      <c r="A2" s="65"/>
      <c r="B2" s="66"/>
      <c r="C2" s="69"/>
      <c r="D2" s="69"/>
      <c r="E2" s="69"/>
      <c r="F2" s="69"/>
      <c r="G2" s="69"/>
      <c r="H2" s="10" t="s">
        <v>2</v>
      </c>
    </row>
    <row r="3" spans="1:9">
      <c r="A3" s="67"/>
      <c r="B3" s="68"/>
      <c r="C3" s="69"/>
      <c r="D3" s="69"/>
      <c r="E3" s="69"/>
      <c r="F3" s="69"/>
      <c r="G3" s="69"/>
      <c r="H3" s="10" t="s">
        <v>3</v>
      </c>
    </row>
    <row r="4" spans="1:9">
      <c r="A4" s="70" t="s">
        <v>4</v>
      </c>
      <c r="B4" s="70"/>
      <c r="C4" s="70" t="s">
        <v>5</v>
      </c>
      <c r="D4" s="70"/>
      <c r="E4" s="70"/>
      <c r="F4" s="70"/>
      <c r="G4" s="70"/>
      <c r="H4" s="10" t="s">
        <v>6</v>
      </c>
    </row>
    <row r="5" spans="1:9">
      <c r="A5" s="70" t="s">
        <v>7</v>
      </c>
      <c r="B5" s="70"/>
      <c r="C5" s="70"/>
      <c r="D5" s="70"/>
      <c r="E5" s="70"/>
      <c r="F5" s="70"/>
      <c r="G5" s="70"/>
      <c r="H5" s="10" t="s">
        <v>8</v>
      </c>
    </row>
    <row r="6" spans="1:9">
      <c r="A6" s="1"/>
      <c r="B6" s="1"/>
      <c r="C6" s="1"/>
      <c r="D6" s="1"/>
      <c r="E6" s="6"/>
      <c r="F6" s="1"/>
      <c r="G6" s="1"/>
      <c r="H6" s="1"/>
    </row>
    <row r="7" spans="1:9">
      <c r="A7" s="7" t="s">
        <v>9</v>
      </c>
      <c r="B7" s="2" t="s">
        <v>10</v>
      </c>
      <c r="C7" s="3"/>
      <c r="D7" s="3"/>
      <c r="E7" s="4"/>
      <c r="F7" s="3"/>
      <c r="G7" s="3"/>
      <c r="H7" s="3"/>
    </row>
    <row r="8" spans="1:9">
      <c r="A8" s="7" t="s">
        <v>11</v>
      </c>
      <c r="B8" s="2" t="s">
        <v>126</v>
      </c>
      <c r="C8" s="3"/>
      <c r="D8" s="3"/>
      <c r="E8" s="4"/>
      <c r="F8" s="3"/>
      <c r="G8" s="3"/>
      <c r="H8" s="3"/>
    </row>
    <row r="9" spans="1:9">
      <c r="A9" s="8" t="s">
        <v>13</v>
      </c>
      <c r="B9" s="1" t="s">
        <v>127</v>
      </c>
      <c r="C9" s="3"/>
      <c r="D9" s="3"/>
      <c r="E9" s="4"/>
      <c r="F9" s="3"/>
      <c r="G9" s="3"/>
      <c r="H9" s="3"/>
    </row>
    <row r="10" spans="1:9">
      <c r="A10" s="3"/>
      <c r="B10" s="3"/>
      <c r="C10" s="3"/>
      <c r="D10" s="3"/>
      <c r="E10" s="4"/>
      <c r="F10" s="3"/>
      <c r="G10" s="3"/>
      <c r="H10" s="3"/>
    </row>
    <row r="11" spans="1:9">
      <c r="A11" s="7" t="s">
        <v>15</v>
      </c>
      <c r="B11" s="7" t="s">
        <v>16</v>
      </c>
      <c r="C11" s="7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  <c r="I11" s="1"/>
    </row>
    <row r="12" spans="1:9" ht="121.5">
      <c r="A12" s="2"/>
      <c r="B12" s="2" t="s">
        <v>128</v>
      </c>
      <c r="C12" s="11" t="s">
        <v>129</v>
      </c>
      <c r="D12" s="2"/>
      <c r="E12" s="5"/>
      <c r="F12" s="2"/>
      <c r="G12" s="2"/>
      <c r="H12" s="2"/>
    </row>
    <row r="13" spans="1:9" ht="106.5">
      <c r="A13" s="2"/>
      <c r="B13" s="2" t="s">
        <v>130</v>
      </c>
      <c r="C13" s="11" t="s">
        <v>131</v>
      </c>
      <c r="D13" s="2"/>
      <c r="E13" s="5"/>
      <c r="F13" s="2"/>
      <c r="G13" s="2"/>
      <c r="H13" s="2"/>
    </row>
    <row r="14" spans="1:9" ht="106.5">
      <c r="A14" s="2"/>
      <c r="B14" s="2" t="s">
        <v>132</v>
      </c>
      <c r="C14" s="11" t="s">
        <v>133</v>
      </c>
      <c r="D14" s="2"/>
      <c r="E14" s="5"/>
      <c r="F14" s="2"/>
      <c r="G14" s="2"/>
      <c r="H14" s="2"/>
    </row>
    <row r="15" spans="1:9" ht="106.5">
      <c r="A15" s="2"/>
      <c r="B15" s="2" t="s">
        <v>134</v>
      </c>
      <c r="C15" s="11" t="s">
        <v>135</v>
      </c>
      <c r="D15" s="2"/>
      <c r="E15" s="5"/>
      <c r="F15" s="2"/>
      <c r="G15" s="2"/>
      <c r="H15" s="2"/>
    </row>
    <row r="16" spans="1:9" ht="121.5">
      <c r="A16" s="2"/>
      <c r="B16" s="2" t="s">
        <v>136</v>
      </c>
      <c r="C16" s="11" t="s">
        <v>137</v>
      </c>
      <c r="D16" s="2"/>
      <c r="E16" s="5"/>
      <c r="F16" s="2"/>
      <c r="G16" s="2"/>
      <c r="H16" s="2"/>
    </row>
    <row r="17" spans="1:8" ht="121.5">
      <c r="A17" s="2"/>
      <c r="B17" s="2" t="s">
        <v>138</v>
      </c>
      <c r="C17" s="11" t="s">
        <v>139</v>
      </c>
      <c r="D17" s="2"/>
      <c r="E17" s="5"/>
      <c r="F17" s="2"/>
      <c r="G17" s="2"/>
      <c r="H17" s="2"/>
    </row>
    <row r="18" spans="1:8" ht="121.5">
      <c r="A18" s="2"/>
      <c r="B18" s="2" t="s">
        <v>140</v>
      </c>
      <c r="C18" s="11" t="s">
        <v>141</v>
      </c>
      <c r="D18" s="2"/>
      <c r="E18" s="5"/>
      <c r="F18" s="2"/>
      <c r="G18" s="2"/>
      <c r="H18" s="2"/>
    </row>
    <row r="19" spans="1:8" ht="76.5">
      <c r="A19" s="2"/>
      <c r="B19" s="11" t="s">
        <v>142</v>
      </c>
      <c r="C19" s="11" t="s">
        <v>143</v>
      </c>
      <c r="D19" s="2"/>
      <c r="E19" s="5"/>
      <c r="F19" s="2"/>
      <c r="G19" s="2"/>
      <c r="H19" s="2"/>
    </row>
    <row r="20" spans="1:8" ht="76.5">
      <c r="A20" s="2"/>
      <c r="B20" s="2" t="s">
        <v>144</v>
      </c>
      <c r="C20" s="11" t="s">
        <v>145</v>
      </c>
      <c r="D20" s="2"/>
      <c r="E20" s="5"/>
      <c r="F20" s="2"/>
      <c r="G20" s="2"/>
      <c r="H20" s="2"/>
    </row>
    <row r="21" spans="1:8" ht="76.5">
      <c r="A21" s="2"/>
      <c r="B21" s="11" t="s">
        <v>146</v>
      </c>
      <c r="C21" s="11" t="s">
        <v>147</v>
      </c>
      <c r="D21" s="2"/>
      <c r="E21" s="5"/>
      <c r="F21" s="2"/>
      <c r="G21" s="2"/>
      <c r="H21" s="2"/>
    </row>
    <row r="22" spans="1:8">
      <c r="A22" s="2"/>
      <c r="B22" s="2"/>
      <c r="C22" s="2"/>
      <c r="D22" s="2"/>
      <c r="E22" s="5"/>
      <c r="F22" s="2"/>
      <c r="G22" s="2"/>
      <c r="H22" s="2"/>
    </row>
    <row r="23" spans="1:8">
      <c r="A23" s="2"/>
      <c r="B23" s="2"/>
      <c r="C23" s="2"/>
      <c r="D23" s="2"/>
      <c r="E23" s="5"/>
      <c r="F23" s="2"/>
      <c r="G23" s="2"/>
      <c r="H23" s="2"/>
    </row>
    <row r="24" spans="1:8">
      <c r="A24" s="2"/>
      <c r="B24" s="2"/>
      <c r="C24" s="2"/>
      <c r="D24" s="2"/>
      <c r="E24" s="5"/>
      <c r="F24" s="2"/>
      <c r="G24" s="2"/>
      <c r="H24" s="2"/>
    </row>
    <row r="25" spans="1:8">
      <c r="A25" s="2"/>
      <c r="B25" s="2"/>
      <c r="C25" s="2"/>
      <c r="D25" s="2"/>
      <c r="E25" s="5"/>
      <c r="F25" s="2"/>
      <c r="G25" s="2"/>
      <c r="H25" s="2"/>
    </row>
    <row r="26" spans="1:8">
      <c r="A26" s="2"/>
      <c r="B26" s="2"/>
      <c r="C26" s="2"/>
      <c r="D26" s="2"/>
      <c r="E26" s="5"/>
      <c r="F26" s="2"/>
      <c r="G26" s="2"/>
      <c r="H26" s="2"/>
    </row>
    <row r="27" spans="1:8">
      <c r="A27" s="2"/>
      <c r="B27" s="2"/>
      <c r="C27" s="2"/>
      <c r="D27" s="2"/>
      <c r="E27" s="5"/>
      <c r="F27" s="2"/>
      <c r="G27" s="2"/>
      <c r="H27" s="2"/>
    </row>
    <row r="28" spans="1:8">
      <c r="A28" s="2"/>
      <c r="B28" s="2"/>
      <c r="C28" s="2"/>
      <c r="D28" s="2"/>
      <c r="E28" s="5"/>
      <c r="F28" s="2"/>
      <c r="G28" s="2"/>
      <c r="H28" s="2"/>
    </row>
    <row r="29" spans="1:8">
      <c r="A29" s="2"/>
      <c r="B29" s="2"/>
      <c r="C29" s="2"/>
      <c r="D29" s="2"/>
      <c r="E29" s="5"/>
      <c r="F29" s="2"/>
      <c r="G29" s="2"/>
      <c r="H29" s="2"/>
    </row>
    <row r="30" spans="1:8">
      <c r="A30" s="2"/>
      <c r="B30" s="2"/>
      <c r="C30" s="2"/>
      <c r="D30" s="2"/>
      <c r="E30" s="5"/>
      <c r="F30" s="2"/>
      <c r="G30" s="2"/>
      <c r="H30" s="2"/>
    </row>
    <row r="31" spans="1:8">
      <c r="A31" s="2"/>
      <c r="B31" s="2"/>
      <c r="C31" s="2"/>
      <c r="D31" s="2"/>
      <c r="E31" s="5"/>
      <c r="F31" s="2"/>
      <c r="G31" s="2"/>
      <c r="H31" s="2"/>
    </row>
    <row r="32" spans="1:8">
      <c r="A32" s="2"/>
      <c r="B32" s="2"/>
      <c r="C32" s="2"/>
      <c r="D32" s="2"/>
      <c r="E32" s="5"/>
      <c r="F32" s="2"/>
      <c r="G32" s="2"/>
      <c r="H32" s="2"/>
    </row>
    <row r="33" spans="1:8">
      <c r="A33" s="2"/>
      <c r="B33" s="2"/>
      <c r="C33" s="2"/>
      <c r="D33" s="2"/>
      <c r="E33" s="5"/>
      <c r="F33" s="2"/>
      <c r="G33" s="2"/>
      <c r="H33" s="2"/>
    </row>
    <row r="34" spans="1:8">
      <c r="A34" s="2"/>
      <c r="B34" s="2"/>
      <c r="C34" s="2"/>
      <c r="D34" s="2"/>
      <c r="E34" s="5"/>
      <c r="F34" s="2"/>
      <c r="G34" s="2"/>
      <c r="H34" s="2"/>
    </row>
    <row r="35" spans="1:8">
      <c r="A35" s="2"/>
      <c r="B35" s="2"/>
      <c r="C35" s="2"/>
      <c r="D35" s="2"/>
      <c r="E35" s="5"/>
      <c r="F35" s="2"/>
      <c r="G35" s="2"/>
      <c r="H35" s="2"/>
    </row>
    <row r="36" spans="1:8">
      <c r="A36" s="2"/>
      <c r="B36" s="2"/>
      <c r="C36" s="2"/>
      <c r="D36" s="2"/>
      <c r="E36" s="5"/>
      <c r="F36" s="2"/>
      <c r="G36" s="2"/>
      <c r="H36" s="2"/>
    </row>
    <row r="37" spans="1:8">
      <c r="A37" s="2"/>
      <c r="B37" s="2"/>
      <c r="C37" s="2"/>
      <c r="D37" s="2"/>
      <c r="E37" s="5"/>
      <c r="F37" s="2"/>
      <c r="G37" s="2"/>
      <c r="H37" s="2"/>
    </row>
    <row r="38" spans="1:8">
      <c r="A38" s="2"/>
      <c r="B38" s="2"/>
      <c r="C38" s="2"/>
      <c r="D38" s="2"/>
      <c r="E38" s="5"/>
      <c r="F38" s="2"/>
      <c r="G38" s="2"/>
      <c r="H38" s="2"/>
    </row>
    <row r="39" spans="1:8">
      <c r="A39" s="2"/>
      <c r="B39" s="2"/>
      <c r="C39" s="2"/>
      <c r="D39" s="2"/>
      <c r="E39" s="5"/>
      <c r="F39" s="2"/>
      <c r="G39" s="2"/>
      <c r="H39" s="2"/>
    </row>
    <row r="40" spans="1:8">
      <c r="A40" s="1"/>
      <c r="B40" s="1"/>
      <c r="C40" s="1"/>
      <c r="D40" s="1"/>
      <c r="E40" s="6"/>
      <c r="F40" s="1"/>
      <c r="G40" s="1"/>
      <c r="H40" s="1"/>
    </row>
    <row r="41" spans="1:8">
      <c r="A41" s="1"/>
      <c r="B41" s="1"/>
      <c r="C41" s="1"/>
      <c r="D41" s="1"/>
      <c r="E41" s="6"/>
      <c r="F41" s="1"/>
      <c r="G41" s="1"/>
      <c r="H41" s="1"/>
    </row>
    <row r="42" spans="1:8">
      <c r="A42" s="1"/>
      <c r="B42" s="1"/>
      <c r="C42" s="1"/>
      <c r="D42" s="1"/>
      <c r="E42" s="6"/>
      <c r="F42" s="1"/>
      <c r="G42" s="1"/>
      <c r="H42" s="1"/>
    </row>
    <row r="43" spans="1:8">
      <c r="A43" s="1"/>
      <c r="B43" s="1"/>
      <c r="C43" s="1"/>
      <c r="D43" s="1"/>
      <c r="E43" s="6"/>
      <c r="F43" s="1"/>
      <c r="G43" s="1"/>
      <c r="H43" s="1"/>
    </row>
    <row r="44" spans="1:8">
      <c r="A44" s="1"/>
      <c r="B44" s="1" t="s">
        <v>122</v>
      </c>
      <c r="C44" s="1" t="s">
        <v>123</v>
      </c>
      <c r="D44" s="1" t="s">
        <v>124</v>
      </c>
      <c r="E44" s="6"/>
      <c r="F44" s="1"/>
      <c r="G44" s="1"/>
      <c r="H44" s="1" t="s">
        <v>125</v>
      </c>
    </row>
    <row r="45" spans="1:8">
      <c r="A45" s="1"/>
      <c r="B45" s="1"/>
      <c r="C45" s="1"/>
      <c r="D45" s="1"/>
      <c r="E45" s="6"/>
      <c r="F45" s="1"/>
      <c r="G45" s="1"/>
      <c r="H45" s="1"/>
    </row>
  </sheetData>
  <mergeCells count="5">
    <mergeCell ref="A1:B3"/>
    <mergeCell ref="C1:G3"/>
    <mergeCell ref="A4:B4"/>
    <mergeCell ref="C4:G5"/>
    <mergeCell ref="A5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B1F43-AADE-4AF6-954F-6E11C5CBCF57}">
  <dimension ref="A1:H110"/>
  <sheetViews>
    <sheetView showGridLines="0" topLeftCell="B1" zoomScale="88" workbookViewId="0">
      <selection activeCell="B1" sqref="A1:XFD1048576"/>
    </sheetView>
  </sheetViews>
  <sheetFormatPr defaultColWidth="11.42578125" defaultRowHeight="15"/>
  <cols>
    <col min="1" max="1" width="9.7109375" style="1" bestFit="1" customWidth="1"/>
    <col min="2" max="2" width="52.7109375" style="1" customWidth="1"/>
    <col min="3" max="3" width="52.7109375" style="21" customWidth="1"/>
    <col min="4" max="4" width="11.5703125" style="1" bestFit="1" customWidth="1"/>
    <col min="5" max="5" width="9.85546875" style="6" bestFit="1" customWidth="1"/>
    <col min="6" max="6" width="16" style="1" customWidth="1"/>
    <col min="7" max="7" width="34.5703125" style="1" customWidth="1"/>
    <col min="8" max="8" width="44" style="1" customWidth="1"/>
  </cols>
  <sheetData>
    <row r="1" spans="1:8" ht="14.45" customHeight="1">
      <c r="A1" s="63"/>
      <c r="B1" s="64"/>
      <c r="C1" s="69" t="s">
        <v>0</v>
      </c>
      <c r="D1" s="69"/>
      <c r="E1" s="69"/>
      <c r="F1" s="69"/>
      <c r="G1" s="69"/>
      <c r="H1" s="10" t="s">
        <v>1</v>
      </c>
    </row>
    <row r="2" spans="1:8" ht="14.45" customHeight="1">
      <c r="A2" s="65"/>
      <c r="B2" s="66"/>
      <c r="C2" s="69"/>
      <c r="D2" s="69"/>
      <c r="E2" s="69"/>
      <c r="F2" s="69"/>
      <c r="G2" s="69"/>
      <c r="H2" s="10" t="s">
        <v>2</v>
      </c>
    </row>
    <row r="3" spans="1:8" ht="14.45" customHeight="1">
      <c r="A3" s="67"/>
      <c r="B3" s="68"/>
      <c r="C3" s="69"/>
      <c r="D3" s="69"/>
      <c r="E3" s="69"/>
      <c r="F3" s="69"/>
      <c r="G3" s="69"/>
      <c r="H3" s="10" t="s">
        <v>3</v>
      </c>
    </row>
    <row r="4" spans="1:8" ht="14.45" customHeight="1">
      <c r="A4" s="70" t="s">
        <v>4</v>
      </c>
      <c r="B4" s="70"/>
      <c r="C4" s="70" t="s">
        <v>5</v>
      </c>
      <c r="D4" s="70"/>
      <c r="E4" s="70"/>
      <c r="F4" s="70"/>
      <c r="G4" s="70"/>
      <c r="H4" s="10" t="s">
        <v>6</v>
      </c>
    </row>
    <row r="5" spans="1:8" ht="14.45" customHeight="1">
      <c r="A5" s="70" t="s">
        <v>7</v>
      </c>
      <c r="B5" s="70"/>
      <c r="C5" s="70"/>
      <c r="D5" s="70"/>
      <c r="E5" s="70"/>
      <c r="F5" s="70"/>
      <c r="G5" s="70"/>
      <c r="H5" s="10" t="s">
        <v>8</v>
      </c>
    </row>
    <row r="7" spans="1:8">
      <c r="A7" s="7" t="s">
        <v>9</v>
      </c>
      <c r="B7" s="2"/>
      <c r="C7" s="17"/>
      <c r="D7" s="3"/>
      <c r="E7" s="4"/>
      <c r="F7" s="3"/>
      <c r="G7" s="3"/>
      <c r="H7" s="3"/>
    </row>
    <row r="8" spans="1:8">
      <c r="A8" s="7" t="s">
        <v>11</v>
      </c>
      <c r="B8" s="2" t="s">
        <v>148</v>
      </c>
      <c r="C8" s="17"/>
      <c r="D8" s="3"/>
      <c r="E8" s="4"/>
      <c r="F8" s="3"/>
      <c r="G8" s="3"/>
      <c r="H8" s="3"/>
    </row>
    <row r="9" spans="1:8">
      <c r="A9" s="8" t="s">
        <v>13</v>
      </c>
      <c r="B9" s="1" t="s">
        <v>149</v>
      </c>
      <c r="C9" s="17"/>
      <c r="D9" s="3"/>
      <c r="E9" s="4"/>
      <c r="F9" s="3"/>
      <c r="G9" s="3"/>
      <c r="H9" s="3"/>
    </row>
    <row r="10" spans="1:8" ht="9.6" customHeight="1">
      <c r="A10" s="3"/>
      <c r="B10" s="3"/>
      <c r="C10" s="17"/>
      <c r="D10" s="3"/>
      <c r="E10" s="4"/>
      <c r="F10" s="3"/>
      <c r="G10" s="3"/>
      <c r="H10" s="3"/>
    </row>
    <row r="11" spans="1:8" s="1" customFormat="1" ht="27.6" customHeight="1">
      <c r="A11" s="7" t="s">
        <v>15</v>
      </c>
      <c r="B11" s="7" t="s">
        <v>16</v>
      </c>
      <c r="C11" s="18" t="s">
        <v>17</v>
      </c>
      <c r="D11" s="7" t="s">
        <v>18</v>
      </c>
      <c r="E11" s="9" t="s">
        <v>19</v>
      </c>
      <c r="F11" s="7" t="s">
        <v>20</v>
      </c>
      <c r="G11" s="7" t="s">
        <v>21</v>
      </c>
      <c r="H11" s="7" t="s">
        <v>22</v>
      </c>
    </row>
    <row r="12" spans="1:8" ht="60" customHeight="1">
      <c r="A12" s="50">
        <v>1</v>
      </c>
      <c r="B12" s="50" t="s">
        <v>150</v>
      </c>
      <c r="C12" s="19" t="s">
        <v>151</v>
      </c>
      <c r="D12" s="2" t="s">
        <v>25</v>
      </c>
      <c r="E12" s="76">
        <v>0.01</v>
      </c>
      <c r="F12" s="50" t="s">
        <v>152</v>
      </c>
      <c r="G12" s="2" t="s">
        <v>153</v>
      </c>
      <c r="H12" s="2" t="s">
        <v>154</v>
      </c>
    </row>
    <row r="13" spans="1:8" ht="30" customHeight="1">
      <c r="A13" s="51"/>
      <c r="B13" s="51"/>
      <c r="C13" s="19" t="s">
        <v>155</v>
      </c>
      <c r="D13" s="2" t="s">
        <v>68</v>
      </c>
      <c r="E13" s="77"/>
      <c r="F13" s="51"/>
      <c r="G13" s="2" t="s">
        <v>156</v>
      </c>
      <c r="H13" s="2" t="s">
        <v>154</v>
      </c>
    </row>
    <row r="14" spans="1:8" ht="30" customHeight="1">
      <c r="A14" s="52"/>
      <c r="B14" s="52"/>
      <c r="C14" s="19" t="s">
        <v>157</v>
      </c>
      <c r="D14" s="2" t="s">
        <v>68</v>
      </c>
      <c r="E14" s="78"/>
      <c r="F14" s="52"/>
      <c r="G14" s="2" t="s">
        <v>158</v>
      </c>
      <c r="H14" s="2" t="s">
        <v>154</v>
      </c>
    </row>
    <row r="15" spans="1:8" ht="30.75">
      <c r="A15" s="50">
        <v>2</v>
      </c>
      <c r="B15" s="50" t="s">
        <v>159</v>
      </c>
      <c r="C15" s="19" t="s">
        <v>160</v>
      </c>
      <c r="D15" s="2" t="s">
        <v>36</v>
      </c>
      <c r="E15" s="76">
        <v>5.0000000000000001E-3</v>
      </c>
      <c r="F15" s="50" t="s">
        <v>26</v>
      </c>
      <c r="G15" s="38" t="s">
        <v>161</v>
      </c>
      <c r="H15" s="2" t="s">
        <v>28</v>
      </c>
    </row>
    <row r="16" spans="1:8" ht="30">
      <c r="A16" s="51"/>
      <c r="B16" s="51"/>
      <c r="C16" s="19" t="s">
        <v>162</v>
      </c>
      <c r="D16" s="2" t="s">
        <v>25</v>
      </c>
      <c r="E16" s="77"/>
      <c r="F16" s="51"/>
      <c r="G16" s="2" t="s">
        <v>158</v>
      </c>
      <c r="H16" s="2" t="s">
        <v>28</v>
      </c>
    </row>
    <row r="17" spans="1:8" ht="30">
      <c r="A17" s="51"/>
      <c r="B17" s="51"/>
      <c r="C17" s="19" t="s">
        <v>163</v>
      </c>
      <c r="D17" s="2" t="s">
        <v>25</v>
      </c>
      <c r="E17" s="78"/>
      <c r="F17" s="52"/>
      <c r="G17" s="39" t="s">
        <v>164</v>
      </c>
      <c r="H17" s="2" t="s">
        <v>28</v>
      </c>
    </row>
    <row r="18" spans="1:8" ht="38.25" customHeight="1">
      <c r="A18" s="50">
        <v>3</v>
      </c>
      <c r="B18" s="71" t="s">
        <v>165</v>
      </c>
      <c r="C18" s="19" t="s">
        <v>166</v>
      </c>
      <c r="D18" s="2" t="s">
        <v>36</v>
      </c>
      <c r="E18" s="76">
        <v>0.02</v>
      </c>
      <c r="F18" s="50" t="s">
        <v>26</v>
      </c>
      <c r="G18" s="2" t="s">
        <v>31</v>
      </c>
      <c r="H18" s="2" t="s">
        <v>28</v>
      </c>
    </row>
    <row r="19" spans="1:8" ht="60">
      <c r="A19" s="51"/>
      <c r="B19" s="71"/>
      <c r="C19" s="19" t="s">
        <v>167</v>
      </c>
      <c r="D19" s="2" t="s">
        <v>36</v>
      </c>
      <c r="E19" s="77"/>
      <c r="F19" s="51"/>
      <c r="G19" s="40" t="s">
        <v>168</v>
      </c>
      <c r="H19" s="2" t="s">
        <v>28</v>
      </c>
    </row>
    <row r="20" spans="1:8" ht="45">
      <c r="A20" s="51"/>
      <c r="B20" s="71"/>
      <c r="C20" s="19" t="s">
        <v>169</v>
      </c>
      <c r="D20" s="2" t="s">
        <v>36</v>
      </c>
      <c r="E20" s="77"/>
      <c r="F20" s="51"/>
      <c r="G20" s="2" t="s">
        <v>170</v>
      </c>
      <c r="H20" s="2" t="s">
        <v>28</v>
      </c>
    </row>
    <row r="21" spans="1:8" ht="30">
      <c r="A21" s="51"/>
      <c r="B21" s="71"/>
      <c r="C21" s="19" t="s">
        <v>171</v>
      </c>
      <c r="D21" s="2" t="s">
        <v>36</v>
      </c>
      <c r="E21" s="77"/>
      <c r="F21" s="51"/>
      <c r="G21" s="2" t="s">
        <v>172</v>
      </c>
      <c r="H21" s="2" t="s">
        <v>173</v>
      </c>
    </row>
    <row r="22" spans="1:8" ht="45">
      <c r="A22" s="51"/>
      <c r="B22" s="71"/>
      <c r="C22" s="19" t="s">
        <v>174</v>
      </c>
      <c r="D22" s="2" t="s">
        <v>36</v>
      </c>
      <c r="E22" s="77"/>
      <c r="F22" s="51"/>
      <c r="G22" s="2" t="s">
        <v>158</v>
      </c>
      <c r="H22" s="2" t="s">
        <v>28</v>
      </c>
    </row>
    <row r="23" spans="1:8" ht="45">
      <c r="A23" s="51"/>
      <c r="B23" s="71"/>
      <c r="C23" s="19" t="s">
        <v>175</v>
      </c>
      <c r="D23" s="2" t="s">
        <v>36</v>
      </c>
      <c r="E23" s="77"/>
      <c r="F23" s="51"/>
      <c r="G23" s="2" t="s">
        <v>170</v>
      </c>
      <c r="H23" s="2" t="s">
        <v>28</v>
      </c>
    </row>
    <row r="24" spans="1:8" ht="45">
      <c r="A24" s="52"/>
      <c r="B24" s="71"/>
      <c r="C24" s="19" t="s">
        <v>176</v>
      </c>
      <c r="D24" s="2" t="s">
        <v>36</v>
      </c>
      <c r="E24" s="78"/>
      <c r="F24" s="52"/>
      <c r="G24" s="39" t="s">
        <v>177</v>
      </c>
      <c r="H24" s="2" t="s">
        <v>28</v>
      </c>
    </row>
    <row r="25" spans="1:8" ht="75">
      <c r="A25" s="13">
        <v>4</v>
      </c>
      <c r="B25" s="2" t="s">
        <v>178</v>
      </c>
      <c r="C25" s="19" t="s">
        <v>179</v>
      </c>
      <c r="D25" s="2" t="s">
        <v>36</v>
      </c>
      <c r="E25" s="5">
        <v>5.0000000000000001E-3</v>
      </c>
      <c r="F25" s="2" t="s">
        <v>26</v>
      </c>
      <c r="G25" s="40" t="s">
        <v>168</v>
      </c>
      <c r="H25" s="2" t="s">
        <v>28</v>
      </c>
    </row>
    <row r="26" spans="1:8" ht="30">
      <c r="A26" s="50">
        <v>5</v>
      </c>
      <c r="B26" s="71" t="s">
        <v>180</v>
      </c>
      <c r="C26" s="19" t="s">
        <v>166</v>
      </c>
      <c r="D26" s="2" t="s">
        <v>36</v>
      </c>
      <c r="E26" s="76">
        <v>0.03</v>
      </c>
      <c r="F26" s="50" t="s">
        <v>26</v>
      </c>
      <c r="G26" s="2" t="s">
        <v>31</v>
      </c>
      <c r="H26" s="2" t="s">
        <v>28</v>
      </c>
    </row>
    <row r="27" spans="1:8" ht="45">
      <c r="A27" s="51"/>
      <c r="B27" s="71"/>
      <c r="C27" s="19" t="s">
        <v>181</v>
      </c>
      <c r="D27" s="2" t="s">
        <v>36</v>
      </c>
      <c r="E27" s="77"/>
      <c r="F27" s="51"/>
      <c r="G27" s="2" t="s">
        <v>170</v>
      </c>
      <c r="H27" s="2" t="s">
        <v>28</v>
      </c>
    </row>
    <row r="28" spans="1:8" ht="30">
      <c r="A28" s="51"/>
      <c r="B28" s="71"/>
      <c r="C28" s="19" t="s">
        <v>182</v>
      </c>
      <c r="D28" s="2" t="s">
        <v>36</v>
      </c>
      <c r="E28" s="77"/>
      <c r="F28" s="51"/>
      <c r="G28" s="2" t="s">
        <v>172</v>
      </c>
      <c r="H28" s="2" t="s">
        <v>28</v>
      </c>
    </row>
    <row r="29" spans="1:8">
      <c r="A29" s="51"/>
      <c r="B29" s="71"/>
      <c r="C29" s="19" t="s">
        <v>183</v>
      </c>
      <c r="D29" s="2" t="s">
        <v>121</v>
      </c>
      <c r="E29" s="77"/>
      <c r="F29" s="51"/>
      <c r="G29" s="2" t="s">
        <v>170</v>
      </c>
      <c r="H29" s="2" t="s">
        <v>28</v>
      </c>
    </row>
    <row r="30" spans="1:8" ht="45">
      <c r="A30" s="51"/>
      <c r="B30" s="71"/>
      <c r="C30" s="19" t="s">
        <v>184</v>
      </c>
      <c r="D30" s="2" t="s">
        <v>36</v>
      </c>
      <c r="E30" s="77"/>
      <c r="F30" s="51"/>
      <c r="G30" s="2" t="s">
        <v>170</v>
      </c>
      <c r="H30" s="2" t="s">
        <v>28</v>
      </c>
    </row>
    <row r="31" spans="1:8" ht="45">
      <c r="A31" s="52"/>
      <c r="B31" s="71"/>
      <c r="C31" s="19" t="s">
        <v>185</v>
      </c>
      <c r="D31" s="2" t="s">
        <v>36</v>
      </c>
      <c r="E31" s="78"/>
      <c r="F31" s="52"/>
      <c r="G31" s="2" t="s">
        <v>158</v>
      </c>
      <c r="H31" s="2" t="s">
        <v>28</v>
      </c>
    </row>
    <row r="32" spans="1:8">
      <c r="A32" s="50">
        <v>6</v>
      </c>
      <c r="B32" s="50" t="s">
        <v>186</v>
      </c>
      <c r="C32" s="41" t="s">
        <v>187</v>
      </c>
      <c r="D32" s="2" t="s">
        <v>36</v>
      </c>
      <c r="E32" s="76">
        <v>0.03</v>
      </c>
      <c r="F32" s="50" t="s">
        <v>26</v>
      </c>
      <c r="G32" s="39" t="s">
        <v>164</v>
      </c>
      <c r="H32" s="2" t="s">
        <v>28</v>
      </c>
    </row>
    <row r="33" spans="1:8">
      <c r="A33" s="51"/>
      <c r="B33" s="51"/>
      <c r="C33" s="41" t="s">
        <v>188</v>
      </c>
      <c r="D33" s="2" t="s">
        <v>36</v>
      </c>
      <c r="E33" s="77"/>
      <c r="F33" s="51"/>
      <c r="G33" s="39" t="s">
        <v>164</v>
      </c>
      <c r="H33" s="2" t="s">
        <v>28</v>
      </c>
    </row>
    <row r="34" spans="1:8" ht="30">
      <c r="A34" s="52"/>
      <c r="B34" s="52"/>
      <c r="C34" s="41" t="s">
        <v>189</v>
      </c>
      <c r="D34" s="2" t="s">
        <v>36</v>
      </c>
      <c r="E34" s="78"/>
      <c r="F34" s="52"/>
      <c r="G34" s="2" t="s">
        <v>158</v>
      </c>
      <c r="H34" s="2" t="s">
        <v>28</v>
      </c>
    </row>
    <row r="35" spans="1:8" ht="30">
      <c r="A35" s="13">
        <v>7</v>
      </c>
      <c r="B35" s="2" t="s">
        <v>190</v>
      </c>
      <c r="C35" s="41" t="s">
        <v>191</v>
      </c>
      <c r="D35" s="2" t="s">
        <v>36</v>
      </c>
      <c r="E35" s="5">
        <v>0.01</v>
      </c>
      <c r="F35" s="2" t="s">
        <v>26</v>
      </c>
      <c r="G35" s="2" t="s">
        <v>31</v>
      </c>
      <c r="H35" s="2" t="s">
        <v>28</v>
      </c>
    </row>
    <row r="36" spans="1:8" ht="30">
      <c r="A36" s="13">
        <v>8</v>
      </c>
      <c r="B36" s="2" t="s">
        <v>192</v>
      </c>
      <c r="C36" s="19" t="s">
        <v>193</v>
      </c>
      <c r="D36" s="2" t="s">
        <v>41</v>
      </c>
      <c r="E36" s="5">
        <v>0.01</v>
      </c>
      <c r="F36" s="2" t="s">
        <v>26</v>
      </c>
      <c r="G36" s="2" t="s">
        <v>194</v>
      </c>
      <c r="H36" s="2" t="s">
        <v>28</v>
      </c>
    </row>
    <row r="37" spans="1:8" ht="30">
      <c r="A37" s="72">
        <v>9</v>
      </c>
      <c r="B37" s="72" t="s">
        <v>195</v>
      </c>
      <c r="C37" s="19" t="s">
        <v>196</v>
      </c>
      <c r="D37" s="2" t="s">
        <v>50</v>
      </c>
      <c r="E37" s="5">
        <v>0.01</v>
      </c>
      <c r="F37" s="50" t="s">
        <v>26</v>
      </c>
      <c r="G37" s="2" t="s">
        <v>172</v>
      </c>
      <c r="H37" s="2" t="s">
        <v>28</v>
      </c>
    </row>
    <row r="38" spans="1:8" ht="45">
      <c r="A38" s="72"/>
      <c r="B38" s="72"/>
      <c r="C38" s="19" t="s">
        <v>197</v>
      </c>
      <c r="D38" s="2" t="s">
        <v>36</v>
      </c>
      <c r="E38" s="76">
        <v>0.03</v>
      </c>
      <c r="F38" s="51"/>
      <c r="G38" s="2" t="s">
        <v>158</v>
      </c>
      <c r="H38" s="2" t="s">
        <v>28</v>
      </c>
    </row>
    <row r="39" spans="1:8" ht="45.75">
      <c r="A39" s="72"/>
      <c r="B39" s="72"/>
      <c r="C39" s="19" t="s">
        <v>198</v>
      </c>
      <c r="D39" s="2" t="s">
        <v>36</v>
      </c>
      <c r="E39" s="78"/>
      <c r="F39" s="52"/>
      <c r="G39" s="39" t="s">
        <v>164</v>
      </c>
      <c r="H39" s="2" t="s">
        <v>28</v>
      </c>
    </row>
    <row r="40" spans="1:8" ht="25.5" customHeight="1">
      <c r="A40" s="72"/>
      <c r="B40" s="72"/>
      <c r="C40" s="21" t="s">
        <v>199</v>
      </c>
      <c r="D40" s="2" t="s">
        <v>50</v>
      </c>
      <c r="E40" s="5">
        <v>0.01</v>
      </c>
      <c r="F40" s="2" t="s">
        <v>152</v>
      </c>
      <c r="G40" s="2" t="s">
        <v>200</v>
      </c>
      <c r="H40" s="2" t="s">
        <v>154</v>
      </c>
    </row>
    <row r="41" spans="1:8" ht="30">
      <c r="A41" s="50">
        <v>10</v>
      </c>
      <c r="B41" s="60" t="s">
        <v>201</v>
      </c>
      <c r="C41" s="19" t="s">
        <v>202</v>
      </c>
      <c r="D41" s="2" t="s">
        <v>36</v>
      </c>
      <c r="E41" s="76">
        <v>0.03</v>
      </c>
      <c r="F41" s="50" t="s">
        <v>152</v>
      </c>
      <c r="G41" s="2" t="s">
        <v>158</v>
      </c>
      <c r="H41" s="2" t="s">
        <v>28</v>
      </c>
    </row>
    <row r="42" spans="1:8">
      <c r="A42" s="51"/>
      <c r="B42" s="61"/>
      <c r="C42" s="19" t="s">
        <v>203</v>
      </c>
      <c r="D42" s="2" t="s">
        <v>36</v>
      </c>
      <c r="E42" s="77"/>
      <c r="F42" s="51"/>
      <c r="G42" s="2" t="s">
        <v>153</v>
      </c>
      <c r="H42" s="2" t="s">
        <v>28</v>
      </c>
    </row>
    <row r="43" spans="1:8" ht="45.75">
      <c r="A43" s="52"/>
      <c r="B43" s="62"/>
      <c r="C43" s="19" t="s">
        <v>204</v>
      </c>
      <c r="D43" s="2" t="s">
        <v>36</v>
      </c>
      <c r="E43" s="78"/>
      <c r="F43" s="52"/>
      <c r="G43" s="39" t="s">
        <v>164</v>
      </c>
      <c r="H43" s="2" t="s">
        <v>28</v>
      </c>
    </row>
    <row r="44" spans="1:8" ht="45.75" customHeight="1">
      <c r="A44" s="50">
        <v>11</v>
      </c>
      <c r="B44" s="50" t="s">
        <v>205</v>
      </c>
      <c r="C44" s="19" t="s">
        <v>206</v>
      </c>
      <c r="D44" s="2" t="s">
        <v>36</v>
      </c>
      <c r="E44" s="76">
        <v>0.03</v>
      </c>
      <c r="F44" s="50" t="s">
        <v>26</v>
      </c>
      <c r="G44" s="2" t="s">
        <v>158</v>
      </c>
      <c r="H44" s="2" t="s">
        <v>28</v>
      </c>
    </row>
    <row r="45" spans="1:8" ht="45.75" customHeight="1">
      <c r="A45" s="52"/>
      <c r="B45" s="52"/>
      <c r="C45" s="19" t="s">
        <v>204</v>
      </c>
      <c r="D45" s="2" t="s">
        <v>36</v>
      </c>
      <c r="E45" s="78"/>
      <c r="F45" s="52"/>
      <c r="G45" s="39" t="s">
        <v>164</v>
      </c>
      <c r="H45" s="2" t="s">
        <v>28</v>
      </c>
    </row>
    <row r="46" spans="1:8" ht="45.75" customHeight="1">
      <c r="A46" s="50">
        <v>12</v>
      </c>
      <c r="B46" s="50" t="s">
        <v>207</v>
      </c>
      <c r="C46" s="19" t="s">
        <v>208</v>
      </c>
      <c r="D46" s="2" t="s">
        <v>36</v>
      </c>
      <c r="E46" s="76">
        <v>0.04</v>
      </c>
      <c r="F46" s="50" t="s">
        <v>26</v>
      </c>
      <c r="G46" s="2" t="s">
        <v>158</v>
      </c>
      <c r="H46" s="2" t="s">
        <v>28</v>
      </c>
    </row>
    <row r="47" spans="1:8" ht="45.75" customHeight="1">
      <c r="A47" s="52"/>
      <c r="B47" s="52"/>
      <c r="C47" s="44" t="s">
        <v>209</v>
      </c>
      <c r="D47" s="2" t="s">
        <v>36</v>
      </c>
      <c r="E47" s="78"/>
      <c r="F47" s="52"/>
      <c r="G47" s="39" t="s">
        <v>164</v>
      </c>
      <c r="H47" s="2" t="s">
        <v>28</v>
      </c>
    </row>
    <row r="48" spans="1:8">
      <c r="A48" s="50">
        <v>13</v>
      </c>
      <c r="B48" s="60" t="s">
        <v>210</v>
      </c>
      <c r="C48" s="43" t="s">
        <v>211</v>
      </c>
      <c r="D48" s="2" t="s">
        <v>36</v>
      </c>
      <c r="E48" s="76">
        <v>0.03</v>
      </c>
      <c r="F48" s="50" t="s">
        <v>26</v>
      </c>
      <c r="G48" s="2" t="s">
        <v>153</v>
      </c>
      <c r="H48" s="2" t="s">
        <v>28</v>
      </c>
    </row>
    <row r="49" spans="1:8">
      <c r="A49" s="51"/>
      <c r="B49" s="61"/>
      <c r="C49" s="43" t="s">
        <v>212</v>
      </c>
      <c r="D49" s="2" t="s">
        <v>36</v>
      </c>
      <c r="E49" s="77"/>
      <c r="F49" s="51"/>
      <c r="G49" s="2" t="s">
        <v>153</v>
      </c>
      <c r="H49" s="2" t="s">
        <v>28</v>
      </c>
    </row>
    <row r="50" spans="1:8" ht="30">
      <c r="A50" s="51"/>
      <c r="B50" s="61"/>
      <c r="C50" s="43" t="s">
        <v>213</v>
      </c>
      <c r="D50" s="2" t="s">
        <v>36</v>
      </c>
      <c r="E50" s="77"/>
      <c r="F50" s="51"/>
      <c r="G50" s="2" t="s">
        <v>153</v>
      </c>
      <c r="H50" s="2" t="s">
        <v>28</v>
      </c>
    </row>
    <row r="51" spans="1:8">
      <c r="A51" s="51"/>
      <c r="B51" s="61"/>
      <c r="C51" s="43" t="s">
        <v>214</v>
      </c>
      <c r="D51" s="2" t="s">
        <v>50</v>
      </c>
      <c r="E51" s="77"/>
      <c r="F51" s="51"/>
      <c r="G51" s="2" t="s">
        <v>200</v>
      </c>
      <c r="H51" s="2" t="s">
        <v>28</v>
      </c>
    </row>
    <row r="52" spans="1:8" ht="30">
      <c r="A52" s="51"/>
      <c r="B52" s="61"/>
      <c r="C52" s="43" t="s">
        <v>215</v>
      </c>
      <c r="D52" s="2" t="s">
        <v>25</v>
      </c>
      <c r="E52" s="77"/>
      <c r="F52" s="51"/>
      <c r="G52" s="2" t="s">
        <v>153</v>
      </c>
      <c r="H52" s="2" t="s">
        <v>28</v>
      </c>
    </row>
    <row r="53" spans="1:8">
      <c r="A53" s="51"/>
      <c r="B53" s="61"/>
      <c r="C53" s="43" t="s">
        <v>216</v>
      </c>
      <c r="D53" s="2" t="s">
        <v>36</v>
      </c>
      <c r="E53" s="77"/>
      <c r="F53" s="51"/>
      <c r="G53" s="2" t="s">
        <v>153</v>
      </c>
      <c r="H53" s="2" t="s">
        <v>28</v>
      </c>
    </row>
    <row r="54" spans="1:8">
      <c r="A54" s="52"/>
      <c r="B54" s="62"/>
      <c r="C54" s="43" t="s">
        <v>217</v>
      </c>
      <c r="D54" s="2" t="s">
        <v>25</v>
      </c>
      <c r="E54" s="78"/>
      <c r="F54" s="52"/>
      <c r="G54" s="38" t="s">
        <v>218</v>
      </c>
      <c r="H54" s="2" t="s">
        <v>28</v>
      </c>
    </row>
    <row r="55" spans="1:8" ht="38.25" customHeight="1">
      <c r="A55" s="50">
        <v>14</v>
      </c>
      <c r="B55" s="50" t="s">
        <v>219</v>
      </c>
      <c r="C55" s="19" t="s">
        <v>220</v>
      </c>
      <c r="D55" s="2" t="s">
        <v>50</v>
      </c>
      <c r="E55" s="76">
        <v>0.03</v>
      </c>
      <c r="F55" s="50" t="s">
        <v>152</v>
      </c>
      <c r="G55" s="2" t="s">
        <v>158</v>
      </c>
      <c r="H55" s="2" t="s">
        <v>28</v>
      </c>
    </row>
    <row r="56" spans="1:8" ht="38.25" customHeight="1">
      <c r="A56" s="52"/>
      <c r="B56" s="52"/>
      <c r="C56" s="19" t="s">
        <v>221</v>
      </c>
      <c r="D56" s="2" t="s">
        <v>36</v>
      </c>
      <c r="E56" s="78"/>
      <c r="F56" s="52"/>
      <c r="G56" s="2" t="s">
        <v>158</v>
      </c>
      <c r="H56" s="2" t="s">
        <v>28</v>
      </c>
    </row>
    <row r="57" spans="1:8" ht="36" customHeight="1">
      <c r="A57" s="2">
        <v>15</v>
      </c>
      <c r="B57" s="2" t="s">
        <v>222</v>
      </c>
      <c r="C57" s="19" t="s">
        <v>223</v>
      </c>
      <c r="D57" s="2" t="s">
        <v>41</v>
      </c>
      <c r="E57" s="5">
        <v>0.01</v>
      </c>
      <c r="F57" s="2" t="s">
        <v>152</v>
      </c>
      <c r="G57" s="2" t="s">
        <v>153</v>
      </c>
      <c r="H57" s="2" t="s">
        <v>28</v>
      </c>
    </row>
    <row r="58" spans="1:8" ht="41.25" customHeight="1">
      <c r="A58" s="2">
        <v>16</v>
      </c>
      <c r="B58" s="2" t="s">
        <v>224</v>
      </c>
      <c r="C58" s="19" t="s">
        <v>225</v>
      </c>
      <c r="D58" s="2" t="s">
        <v>36</v>
      </c>
      <c r="E58" s="5">
        <v>0.02</v>
      </c>
      <c r="F58" s="2" t="s">
        <v>152</v>
      </c>
      <c r="G58" s="2" t="s">
        <v>226</v>
      </c>
      <c r="H58" s="2" t="s">
        <v>28</v>
      </c>
    </row>
    <row r="59" spans="1:8" ht="30">
      <c r="A59" s="73">
        <v>17</v>
      </c>
      <c r="B59" s="73" t="s">
        <v>227</v>
      </c>
      <c r="C59" s="19" t="s">
        <v>228</v>
      </c>
      <c r="D59" s="2" t="s">
        <v>50</v>
      </c>
      <c r="E59" s="76">
        <v>0.5</v>
      </c>
      <c r="F59" s="50" t="s">
        <v>152</v>
      </c>
      <c r="G59" s="2" t="s">
        <v>170</v>
      </c>
      <c r="H59" s="2" t="s">
        <v>28</v>
      </c>
    </row>
    <row r="60" spans="1:8" s="47" customFormat="1">
      <c r="A60" s="74"/>
      <c r="B60" s="74"/>
      <c r="C60" s="45" t="s">
        <v>229</v>
      </c>
      <c r="D60" s="46" t="s">
        <v>50</v>
      </c>
      <c r="E60" s="77"/>
      <c r="F60" s="51"/>
      <c r="G60" s="46" t="s">
        <v>164</v>
      </c>
      <c r="H60" s="2" t="s">
        <v>28</v>
      </c>
    </row>
    <row r="61" spans="1:8" s="47" customFormat="1">
      <c r="A61" s="74"/>
      <c r="B61" s="74"/>
      <c r="C61" s="45" t="s">
        <v>230</v>
      </c>
      <c r="D61" s="46" t="s">
        <v>50</v>
      </c>
      <c r="E61" s="77"/>
      <c r="F61" s="51"/>
      <c r="G61" s="46" t="s">
        <v>170</v>
      </c>
      <c r="H61" s="2" t="s">
        <v>28</v>
      </c>
    </row>
    <row r="62" spans="1:8" s="47" customFormat="1" ht="36" customHeight="1">
      <c r="A62" s="75"/>
      <c r="B62" s="75"/>
      <c r="C62" s="45" t="s">
        <v>231</v>
      </c>
      <c r="D62" s="46" t="s">
        <v>50</v>
      </c>
      <c r="E62" s="78"/>
      <c r="F62" s="52"/>
      <c r="G62" s="46" t="s">
        <v>153</v>
      </c>
      <c r="H62" s="2" t="s">
        <v>28</v>
      </c>
    </row>
    <row r="63" spans="1:8" ht="27.6" customHeight="1">
      <c r="A63" s="2">
        <v>18</v>
      </c>
      <c r="B63" s="50" t="s">
        <v>232</v>
      </c>
      <c r="C63" s="19" t="s">
        <v>233</v>
      </c>
      <c r="D63" s="2" t="s">
        <v>36</v>
      </c>
      <c r="E63" s="76">
        <v>0.03</v>
      </c>
      <c r="F63" s="50" t="s">
        <v>152</v>
      </c>
      <c r="G63" s="2" t="s">
        <v>170</v>
      </c>
      <c r="H63" s="2" t="s">
        <v>28</v>
      </c>
    </row>
    <row r="64" spans="1:8" ht="27.6" customHeight="1">
      <c r="A64" s="2">
        <v>19</v>
      </c>
      <c r="B64" s="52"/>
      <c r="C64" s="20" t="s">
        <v>234</v>
      </c>
      <c r="D64" s="2" t="s">
        <v>36</v>
      </c>
      <c r="E64" s="78"/>
      <c r="F64" s="52"/>
      <c r="G64" s="39" t="s">
        <v>164</v>
      </c>
      <c r="H64" s="2" t="s">
        <v>28</v>
      </c>
    </row>
    <row r="65" spans="1:8" ht="27.6" customHeight="1">
      <c r="A65" s="51">
        <v>20</v>
      </c>
      <c r="B65" s="51" t="s">
        <v>235</v>
      </c>
      <c r="C65" s="20" t="s">
        <v>236</v>
      </c>
      <c r="D65" s="49" t="s">
        <v>41</v>
      </c>
      <c r="E65" s="5">
        <v>0.01</v>
      </c>
      <c r="F65" s="2" t="s">
        <v>152</v>
      </c>
      <c r="G65" s="2" t="s">
        <v>153</v>
      </c>
      <c r="H65" s="2"/>
    </row>
    <row r="66" spans="1:8" ht="27.6" customHeight="1">
      <c r="A66" s="51"/>
      <c r="B66" s="51"/>
      <c r="C66" s="20" t="s">
        <v>237</v>
      </c>
      <c r="D66" s="50" t="s">
        <v>25</v>
      </c>
      <c r="E66" s="76">
        <v>0.03</v>
      </c>
      <c r="F66" s="50" t="s">
        <v>152</v>
      </c>
      <c r="G66" s="38" t="s">
        <v>218</v>
      </c>
      <c r="H66" s="2" t="s">
        <v>28</v>
      </c>
    </row>
    <row r="67" spans="1:8" ht="45">
      <c r="A67" s="51"/>
      <c r="B67" s="51"/>
      <c r="C67" s="19" t="s">
        <v>238</v>
      </c>
      <c r="D67" s="51"/>
      <c r="E67" s="77"/>
      <c r="F67" s="51"/>
      <c r="G67" s="2" t="s">
        <v>170</v>
      </c>
      <c r="H67" s="2" t="s">
        <v>28</v>
      </c>
    </row>
    <row r="68" spans="1:8" ht="45">
      <c r="A68" s="52"/>
      <c r="B68" s="52"/>
      <c r="C68" s="19" t="s">
        <v>204</v>
      </c>
      <c r="D68" s="52"/>
      <c r="E68" s="78"/>
      <c r="F68" s="52"/>
      <c r="G68" s="2" t="s">
        <v>164</v>
      </c>
      <c r="H68" s="2" t="s">
        <v>28</v>
      </c>
    </row>
    <row r="69" spans="1:8" ht="30">
      <c r="A69" s="50">
        <v>21</v>
      </c>
      <c r="B69" s="50" t="s">
        <v>239</v>
      </c>
      <c r="C69" s="19" t="s">
        <v>240</v>
      </c>
      <c r="D69" s="50" t="s">
        <v>68</v>
      </c>
      <c r="E69" s="76">
        <v>0.02</v>
      </c>
      <c r="F69" s="50" t="s">
        <v>152</v>
      </c>
      <c r="G69" s="2" t="s">
        <v>153</v>
      </c>
      <c r="H69" s="2" t="s">
        <v>28</v>
      </c>
    </row>
    <row r="70" spans="1:8">
      <c r="A70" s="51"/>
      <c r="B70" s="51"/>
      <c r="C70" s="21" t="s">
        <v>241</v>
      </c>
      <c r="D70" s="51"/>
      <c r="E70" s="77"/>
      <c r="F70" s="51"/>
      <c r="G70" s="2" t="s">
        <v>242</v>
      </c>
      <c r="H70" s="2" t="s">
        <v>28</v>
      </c>
    </row>
    <row r="71" spans="1:8">
      <c r="A71" s="52"/>
      <c r="B71" s="52"/>
      <c r="C71" s="19" t="s">
        <v>243</v>
      </c>
      <c r="D71" s="52"/>
      <c r="E71" s="78"/>
      <c r="F71" s="52"/>
      <c r="G71" s="2" t="s">
        <v>244</v>
      </c>
      <c r="H71" s="2" t="s">
        <v>28</v>
      </c>
    </row>
    <row r="72" spans="1:8">
      <c r="A72" s="50">
        <v>22</v>
      </c>
      <c r="B72" s="50" t="s">
        <v>245</v>
      </c>
      <c r="C72" s="19" t="s">
        <v>246</v>
      </c>
      <c r="D72" s="50" t="s">
        <v>41</v>
      </c>
      <c r="E72" s="76">
        <v>0.05</v>
      </c>
      <c r="F72" s="50" t="s">
        <v>26</v>
      </c>
      <c r="G72" s="2" t="s">
        <v>156</v>
      </c>
      <c r="H72" s="2" t="s">
        <v>28</v>
      </c>
    </row>
    <row r="73" spans="1:8">
      <c r="A73" s="51"/>
      <c r="B73" s="51"/>
      <c r="C73" s="19" t="s">
        <v>247</v>
      </c>
      <c r="D73" s="51"/>
      <c r="E73" s="77"/>
      <c r="F73" s="51"/>
      <c r="G73" s="2" t="s">
        <v>153</v>
      </c>
      <c r="H73" s="2" t="s">
        <v>28</v>
      </c>
    </row>
    <row r="74" spans="1:8">
      <c r="A74" s="51"/>
      <c r="B74" s="51"/>
      <c r="C74" s="19" t="s">
        <v>248</v>
      </c>
      <c r="D74" s="51"/>
      <c r="E74" s="77"/>
      <c r="F74" s="51"/>
      <c r="G74" s="12" t="s">
        <v>153</v>
      </c>
      <c r="H74" s="2" t="s">
        <v>28</v>
      </c>
    </row>
    <row r="75" spans="1:8" ht="27.6" customHeight="1">
      <c r="A75" s="51"/>
      <c r="B75" s="51"/>
      <c r="C75" s="19" t="s">
        <v>249</v>
      </c>
      <c r="D75" s="51"/>
      <c r="E75" s="77"/>
      <c r="F75" s="51"/>
      <c r="G75" s="2" t="s">
        <v>153</v>
      </c>
      <c r="H75" s="2" t="s">
        <v>28</v>
      </c>
    </row>
    <row r="76" spans="1:8">
      <c r="A76" s="52"/>
      <c r="B76" s="52"/>
      <c r="C76" s="19" t="s">
        <v>250</v>
      </c>
      <c r="D76" s="52"/>
      <c r="E76" s="78"/>
      <c r="F76" s="52"/>
      <c r="G76" s="2" t="s">
        <v>251</v>
      </c>
      <c r="H76" s="2" t="s">
        <v>154</v>
      </c>
    </row>
    <row r="77" spans="1:8">
      <c r="A77" s="50">
        <v>23</v>
      </c>
      <c r="B77" s="50" t="s">
        <v>252</v>
      </c>
      <c r="C77" s="19" t="s">
        <v>203</v>
      </c>
      <c r="D77" s="50" t="s">
        <v>25</v>
      </c>
      <c r="E77" s="76">
        <v>0.03</v>
      </c>
      <c r="F77" s="50" t="s">
        <v>26</v>
      </c>
      <c r="G77" s="2" t="s">
        <v>153</v>
      </c>
      <c r="H77" s="2" t="s">
        <v>28</v>
      </c>
    </row>
    <row r="78" spans="1:8">
      <c r="A78" s="51"/>
      <c r="B78" s="51"/>
      <c r="C78" s="19" t="s">
        <v>253</v>
      </c>
      <c r="D78" s="51"/>
      <c r="E78" s="77"/>
      <c r="F78" s="51"/>
      <c r="G78" s="2" t="s">
        <v>153</v>
      </c>
      <c r="H78" s="2" t="s">
        <v>28</v>
      </c>
    </row>
    <row r="79" spans="1:8">
      <c r="A79" s="51"/>
      <c r="B79" s="51"/>
      <c r="C79" s="20" t="s">
        <v>254</v>
      </c>
      <c r="D79" s="51"/>
      <c r="E79" s="77"/>
      <c r="F79" s="51"/>
      <c r="G79" s="2" t="s">
        <v>153</v>
      </c>
      <c r="H79" s="2" t="s">
        <v>28</v>
      </c>
    </row>
    <row r="80" spans="1:8">
      <c r="A80" s="52"/>
      <c r="B80" s="52"/>
      <c r="C80" s="20" t="s">
        <v>255</v>
      </c>
      <c r="D80" s="52"/>
      <c r="E80" s="78"/>
      <c r="F80" s="52"/>
      <c r="G80" s="2" t="s">
        <v>156</v>
      </c>
      <c r="H80" s="2" t="s">
        <v>28</v>
      </c>
    </row>
    <row r="81" spans="1:8">
      <c r="A81" s="50">
        <v>24</v>
      </c>
      <c r="B81" s="50" t="s">
        <v>256</v>
      </c>
      <c r="C81" s="20" t="s">
        <v>257</v>
      </c>
      <c r="D81" s="50" t="s">
        <v>25</v>
      </c>
      <c r="E81" s="76">
        <v>0.03</v>
      </c>
      <c r="F81" s="50" t="s">
        <v>26</v>
      </c>
      <c r="G81" s="2" t="s">
        <v>258</v>
      </c>
      <c r="H81" s="2" t="s">
        <v>28</v>
      </c>
    </row>
    <row r="82" spans="1:8">
      <c r="A82" s="52"/>
      <c r="B82" s="52"/>
      <c r="C82" s="20" t="s">
        <v>259</v>
      </c>
      <c r="D82" s="52"/>
      <c r="E82" s="78"/>
      <c r="F82" s="52"/>
      <c r="G82" s="2" t="s">
        <v>258</v>
      </c>
      <c r="H82" s="2" t="s">
        <v>28</v>
      </c>
    </row>
    <row r="83" spans="1:8" ht="27.6" customHeight="1">
      <c r="A83" s="2">
        <v>25</v>
      </c>
      <c r="B83" s="50" t="s">
        <v>260</v>
      </c>
      <c r="C83" s="19" t="s">
        <v>261</v>
      </c>
      <c r="D83" s="2" t="s">
        <v>50</v>
      </c>
      <c r="E83" s="16">
        <v>0.2</v>
      </c>
      <c r="F83" s="50" t="s">
        <v>26</v>
      </c>
      <c r="G83" s="2" t="s">
        <v>153</v>
      </c>
      <c r="H83" s="2" t="s">
        <v>28</v>
      </c>
    </row>
    <row r="84" spans="1:8" ht="27.6" customHeight="1">
      <c r="A84" s="12">
        <v>26</v>
      </c>
      <c r="B84" s="51"/>
      <c r="C84" s="19" t="s">
        <v>262</v>
      </c>
      <c r="D84" s="50" t="s">
        <v>25</v>
      </c>
      <c r="E84" s="79">
        <v>0.03</v>
      </c>
      <c r="F84" s="51"/>
      <c r="G84" s="2" t="s">
        <v>156</v>
      </c>
      <c r="H84" s="2" t="s">
        <v>28</v>
      </c>
    </row>
    <row r="85" spans="1:8" ht="27.6" customHeight="1">
      <c r="A85" s="12">
        <v>27</v>
      </c>
      <c r="B85" s="52"/>
      <c r="C85" s="21" t="s">
        <v>263</v>
      </c>
      <c r="D85" s="52"/>
      <c r="E85" s="79"/>
      <c r="F85" s="52"/>
      <c r="G85" s="2" t="s">
        <v>31</v>
      </c>
      <c r="H85" s="2" t="s">
        <v>28</v>
      </c>
    </row>
    <row r="86" spans="1:8">
      <c r="A86" s="50">
        <v>28</v>
      </c>
      <c r="B86" s="50" t="s">
        <v>264</v>
      </c>
      <c r="C86" s="19" t="s">
        <v>265</v>
      </c>
      <c r="D86" s="2" t="s">
        <v>50</v>
      </c>
      <c r="E86" s="5">
        <v>0.01</v>
      </c>
      <c r="F86" s="2" t="s">
        <v>26</v>
      </c>
      <c r="G86" s="2" t="s">
        <v>251</v>
      </c>
      <c r="H86" s="2" t="s">
        <v>154</v>
      </c>
    </row>
    <row r="87" spans="1:8">
      <c r="A87" s="51"/>
      <c r="B87" s="51"/>
      <c r="C87" s="19" t="s">
        <v>266</v>
      </c>
      <c r="D87" s="2" t="s">
        <v>50</v>
      </c>
      <c r="E87" s="5">
        <v>0.02</v>
      </c>
      <c r="F87" s="2" t="s">
        <v>26</v>
      </c>
      <c r="G87" s="2" t="s">
        <v>251</v>
      </c>
      <c r="H87" s="2" t="s">
        <v>154</v>
      </c>
    </row>
    <row r="88" spans="1:8">
      <c r="A88" s="51"/>
      <c r="B88" s="51"/>
      <c r="C88" s="19" t="s">
        <v>267</v>
      </c>
      <c r="D88" s="2" t="s">
        <v>36</v>
      </c>
      <c r="E88" s="5">
        <v>0.01</v>
      </c>
      <c r="F88" s="2" t="s">
        <v>26</v>
      </c>
      <c r="G88" s="2" t="s">
        <v>251</v>
      </c>
      <c r="H88" s="2" t="s">
        <v>154</v>
      </c>
    </row>
    <row r="89" spans="1:8">
      <c r="A89" s="51"/>
      <c r="B89" s="51"/>
      <c r="C89" s="19" t="s">
        <v>268</v>
      </c>
      <c r="D89" s="2" t="s">
        <v>36</v>
      </c>
      <c r="E89" s="5">
        <v>0.01</v>
      </c>
      <c r="F89" s="2" t="s">
        <v>26</v>
      </c>
      <c r="G89" s="2" t="s">
        <v>251</v>
      </c>
      <c r="H89" s="2" t="s">
        <v>154</v>
      </c>
    </row>
    <row r="90" spans="1:8" ht="30">
      <c r="A90" s="52"/>
      <c r="B90" s="52"/>
      <c r="C90" s="19" t="s">
        <v>269</v>
      </c>
      <c r="D90" s="2" t="s">
        <v>25</v>
      </c>
      <c r="E90" s="5">
        <v>0.01</v>
      </c>
      <c r="F90" s="2" t="s">
        <v>26</v>
      </c>
      <c r="G90" s="2" t="s">
        <v>251</v>
      </c>
      <c r="H90" s="2" t="s">
        <v>154</v>
      </c>
    </row>
    <row r="91" spans="1:8" ht="30">
      <c r="A91" s="50">
        <v>29</v>
      </c>
      <c r="B91" s="50" t="s">
        <v>270</v>
      </c>
      <c r="C91" s="19" t="s">
        <v>271</v>
      </c>
      <c r="D91" s="2" t="s">
        <v>41</v>
      </c>
      <c r="E91" s="5">
        <v>0.02</v>
      </c>
      <c r="F91" s="2" t="s">
        <v>152</v>
      </c>
      <c r="G91" s="2" t="s">
        <v>153</v>
      </c>
      <c r="H91" s="2" t="s">
        <v>28</v>
      </c>
    </row>
    <row r="92" spans="1:8" ht="45.75">
      <c r="A92" s="51"/>
      <c r="B92" s="51"/>
      <c r="C92" s="19" t="s">
        <v>204</v>
      </c>
      <c r="D92" s="2" t="s">
        <v>41</v>
      </c>
      <c r="E92" s="5">
        <v>0.02</v>
      </c>
      <c r="F92" s="2" t="s">
        <v>152</v>
      </c>
      <c r="G92" s="39" t="s">
        <v>164</v>
      </c>
      <c r="H92" s="2" t="s">
        <v>28</v>
      </c>
    </row>
    <row r="93" spans="1:8" ht="45">
      <c r="A93" s="52"/>
      <c r="B93" s="52"/>
      <c r="C93" s="19" t="s">
        <v>272</v>
      </c>
      <c r="D93" s="2" t="s">
        <v>36</v>
      </c>
      <c r="E93" s="6">
        <v>0.02</v>
      </c>
      <c r="F93" s="2" t="s">
        <v>152</v>
      </c>
      <c r="G93" s="2" t="s">
        <v>194</v>
      </c>
      <c r="H93" s="2" t="s">
        <v>28</v>
      </c>
    </row>
    <row r="94" spans="1:8">
      <c r="A94" s="50">
        <v>30</v>
      </c>
      <c r="B94" s="50" t="s">
        <v>273</v>
      </c>
      <c r="C94" s="21" t="s">
        <v>274</v>
      </c>
      <c r="D94" s="2" t="s">
        <v>121</v>
      </c>
      <c r="E94" s="5">
        <v>0.03</v>
      </c>
      <c r="F94" s="60" t="s">
        <v>275</v>
      </c>
      <c r="G94" s="2" t="s">
        <v>251</v>
      </c>
      <c r="H94" s="2" t="s">
        <v>276</v>
      </c>
    </row>
    <row r="95" spans="1:8">
      <c r="A95" s="51"/>
      <c r="B95" s="51"/>
      <c r="C95" s="19" t="s">
        <v>277</v>
      </c>
      <c r="D95" s="2" t="s">
        <v>68</v>
      </c>
      <c r="E95" s="76">
        <v>0.02</v>
      </c>
      <c r="F95" s="61"/>
      <c r="G95" s="2" t="s">
        <v>251</v>
      </c>
      <c r="H95" s="2" t="s">
        <v>276</v>
      </c>
    </row>
    <row r="96" spans="1:8" ht="30">
      <c r="A96" s="51"/>
      <c r="B96" s="51"/>
      <c r="C96" s="19" t="s">
        <v>278</v>
      </c>
      <c r="D96" s="2" t="s">
        <v>36</v>
      </c>
      <c r="E96" s="77"/>
      <c r="F96" s="61"/>
      <c r="G96" s="2" t="s">
        <v>47</v>
      </c>
      <c r="H96" s="2" t="s">
        <v>28</v>
      </c>
    </row>
    <row r="97" spans="1:8" ht="30">
      <c r="A97" s="51"/>
      <c r="B97" s="51"/>
      <c r="C97" s="19" t="s">
        <v>279</v>
      </c>
      <c r="D97" s="2" t="s">
        <v>50</v>
      </c>
      <c r="E97" s="77"/>
      <c r="F97" s="61"/>
      <c r="G97" s="2"/>
      <c r="H97" s="2"/>
    </row>
    <row r="98" spans="1:8" ht="30">
      <c r="A98" s="51"/>
      <c r="B98" s="51"/>
      <c r="C98" s="19" t="s">
        <v>280</v>
      </c>
      <c r="D98" s="2" t="s">
        <v>121</v>
      </c>
      <c r="E98" s="77"/>
      <c r="F98" s="61"/>
      <c r="G98" s="2"/>
      <c r="H98" s="2"/>
    </row>
    <row r="99" spans="1:8" ht="45">
      <c r="A99" s="51"/>
      <c r="B99" s="51"/>
      <c r="C99" s="19" t="s">
        <v>281</v>
      </c>
      <c r="D99" s="2" t="s">
        <v>36</v>
      </c>
      <c r="E99" s="77"/>
      <c r="F99" s="61"/>
      <c r="G99" s="2"/>
      <c r="H99" s="2"/>
    </row>
    <row r="100" spans="1:8" ht="30">
      <c r="A100" s="51"/>
      <c r="B100" s="51"/>
      <c r="C100" s="19" t="s">
        <v>282</v>
      </c>
      <c r="D100" s="2" t="s">
        <v>36</v>
      </c>
      <c r="E100" s="77"/>
      <c r="F100" s="61"/>
      <c r="G100" s="2"/>
      <c r="H100" s="2"/>
    </row>
    <row r="101" spans="1:8" ht="30">
      <c r="A101" s="51"/>
      <c r="B101" s="51"/>
      <c r="C101" s="19" t="s">
        <v>283</v>
      </c>
      <c r="D101" s="2" t="s">
        <v>36</v>
      </c>
      <c r="E101" s="77"/>
      <c r="F101" s="61"/>
      <c r="G101" s="2"/>
      <c r="H101" s="2"/>
    </row>
    <row r="102" spans="1:8" ht="45">
      <c r="A102" s="51"/>
      <c r="B102" s="51"/>
      <c r="C102" s="19" t="s">
        <v>284</v>
      </c>
      <c r="D102" s="2" t="s">
        <v>121</v>
      </c>
      <c r="E102" s="77"/>
      <c r="F102" s="61"/>
      <c r="G102" s="2"/>
      <c r="H102" s="2"/>
    </row>
    <row r="103" spans="1:8" ht="30">
      <c r="A103" s="52"/>
      <c r="B103" s="52"/>
      <c r="C103" s="19" t="s">
        <v>285</v>
      </c>
      <c r="D103" s="2" t="s">
        <v>25</v>
      </c>
      <c r="E103" s="78"/>
      <c r="F103" s="62"/>
      <c r="G103" s="2"/>
      <c r="H103" s="2"/>
    </row>
    <row r="104" spans="1:8">
      <c r="C104" s="42"/>
      <c r="E104" s="48">
        <f>SUM(E12:E103)</f>
        <v>1.4600000000000004</v>
      </c>
    </row>
    <row r="105" spans="1:8">
      <c r="C105" s="42"/>
      <c r="E105" s="48"/>
    </row>
    <row r="106" spans="1:8">
      <c r="C106" s="42"/>
      <c r="E106" s="48"/>
    </row>
    <row r="107" spans="1:8">
      <c r="C107" s="42"/>
      <c r="E107" s="48"/>
    </row>
    <row r="108" spans="1:8">
      <c r="C108" s="42"/>
      <c r="E108" s="48"/>
    </row>
    <row r="110" spans="1:8">
      <c r="B110" s="1" t="s">
        <v>122</v>
      </c>
      <c r="C110" s="21" t="s">
        <v>123</v>
      </c>
      <c r="D110" s="1" t="s">
        <v>124</v>
      </c>
      <c r="H110" s="1" t="s">
        <v>125</v>
      </c>
    </row>
  </sheetData>
  <autoFilter ref="B11:H104" xr:uid="{E65B1F43-AADE-4AF6-954F-6E11C5CBCF57}"/>
  <mergeCells count="93">
    <mergeCell ref="F83:F85"/>
    <mergeCell ref="D84:D85"/>
    <mergeCell ref="E84:E85"/>
    <mergeCell ref="E95:E103"/>
    <mergeCell ref="F94:F103"/>
    <mergeCell ref="F69:F71"/>
    <mergeCell ref="F72:F76"/>
    <mergeCell ref="F77:F80"/>
    <mergeCell ref="D81:D82"/>
    <mergeCell ref="E81:E82"/>
    <mergeCell ref="F81:F82"/>
    <mergeCell ref="D69:D71"/>
    <mergeCell ref="E69:E71"/>
    <mergeCell ref="D72:D76"/>
    <mergeCell ref="E72:E76"/>
    <mergeCell ref="D77:D80"/>
    <mergeCell ref="E77:E80"/>
    <mergeCell ref="E63:E64"/>
    <mergeCell ref="F63:F64"/>
    <mergeCell ref="D66:D68"/>
    <mergeCell ref="E66:E68"/>
    <mergeCell ref="F66:F68"/>
    <mergeCell ref="F59:F62"/>
    <mergeCell ref="F12:F14"/>
    <mergeCell ref="F15:F17"/>
    <mergeCell ref="F18:F24"/>
    <mergeCell ref="F26:F31"/>
    <mergeCell ref="F32:F34"/>
    <mergeCell ref="F37:F39"/>
    <mergeCell ref="F41:F43"/>
    <mergeCell ref="F44:F45"/>
    <mergeCell ref="F46:F47"/>
    <mergeCell ref="F48:F54"/>
    <mergeCell ref="F55:F56"/>
    <mergeCell ref="E59:E62"/>
    <mergeCell ref="E12:E14"/>
    <mergeCell ref="E15:E17"/>
    <mergeCell ref="E18:E24"/>
    <mergeCell ref="E26:E31"/>
    <mergeCell ref="E32:E34"/>
    <mergeCell ref="E38:E39"/>
    <mergeCell ref="E41:E43"/>
    <mergeCell ref="E44:E45"/>
    <mergeCell ref="E46:E47"/>
    <mergeCell ref="E48:E54"/>
    <mergeCell ref="E55:E56"/>
    <mergeCell ref="B83:B85"/>
    <mergeCell ref="B65:B68"/>
    <mergeCell ref="A65:A68"/>
    <mergeCell ref="B69:B71"/>
    <mergeCell ref="A69:A71"/>
    <mergeCell ref="B72:B76"/>
    <mergeCell ref="A72:A76"/>
    <mergeCell ref="B81:B82"/>
    <mergeCell ref="B77:B80"/>
    <mergeCell ref="A77:A80"/>
    <mergeCell ref="A81:A82"/>
    <mergeCell ref="A44:A45"/>
    <mergeCell ref="B46:B47"/>
    <mergeCell ref="A46:A47"/>
    <mergeCell ref="B59:B62"/>
    <mergeCell ref="A59:A62"/>
    <mergeCell ref="B55:B56"/>
    <mergeCell ref="B48:B54"/>
    <mergeCell ref="A48:A54"/>
    <mergeCell ref="A55:A56"/>
    <mergeCell ref="B94:B103"/>
    <mergeCell ref="A94:A103"/>
    <mergeCell ref="B86:B90"/>
    <mergeCell ref="A86:A90"/>
    <mergeCell ref="B91:B93"/>
    <mergeCell ref="A91:A93"/>
    <mergeCell ref="A1:B3"/>
    <mergeCell ref="C1:G3"/>
    <mergeCell ref="A4:B4"/>
    <mergeCell ref="C4:G5"/>
    <mergeCell ref="A5:B5"/>
    <mergeCell ref="B63:B64"/>
    <mergeCell ref="B15:B17"/>
    <mergeCell ref="A15:A17"/>
    <mergeCell ref="B12:B14"/>
    <mergeCell ref="A12:A14"/>
    <mergeCell ref="B18:B24"/>
    <mergeCell ref="A18:A24"/>
    <mergeCell ref="B26:B31"/>
    <mergeCell ref="A26:A31"/>
    <mergeCell ref="B37:B40"/>
    <mergeCell ref="A37:A40"/>
    <mergeCell ref="B32:B34"/>
    <mergeCell ref="A32:A34"/>
    <mergeCell ref="B41:B43"/>
    <mergeCell ref="A41:A43"/>
    <mergeCell ref="B44:B45"/>
  </mergeCells>
  <hyperlinks>
    <hyperlink ref="G15" r:id="rId1" xr:uid="{4426F5AD-A2D4-45F8-ADAB-E5E2A8224119}"/>
    <hyperlink ref="G17" r:id="rId2" display="https://pa2.sap.topmanage.cloud/~~troexpec-rdp1/software/html5.html" xr:uid="{A13EAEE7-E894-460E-8126-767231EA4A4B}"/>
    <hyperlink ref="G19" r:id="rId3" display="https://claroflotas.claro.com.ec/" xr:uid="{84B7DAD3-2428-42F0-AB9D-B5A9E93723E7}"/>
    <hyperlink ref="G24" r:id="rId4" display="https://pa2.sap.topmanage.cloud/~~troexpec-rdp1/software/html5.html" xr:uid="{B169C4C8-A7CE-4206-9F1B-8E9F4B9E5B39}"/>
    <hyperlink ref="G25" r:id="rId5" display="https://claroflotas.claro.com.ec/" xr:uid="{1E13FCAC-257D-49DC-86C1-91FB4570A03B}"/>
    <hyperlink ref="G54" r:id="rId6" xr:uid="{E0BBBD56-4441-4634-A92D-A8AB41FE6667}"/>
    <hyperlink ref="G66" r:id="rId7" xr:uid="{1112D4FC-83BC-4973-9FE3-9C75CD1E5606}"/>
    <hyperlink ref="G32:G33" r:id="rId8" display="https://pa2.sap.topmanage.cloud/~~troexpec-rdp1/software/html5.html" xr:uid="{8C5F91A3-0302-46C8-B833-B31A9FDB0AC2}"/>
    <hyperlink ref="G39" r:id="rId9" display="https://pa2.sap.topmanage.cloud/~~troexpec-rdp1/software/html5.html" xr:uid="{76B99AE5-06D3-4D44-B397-1F1487B3B1D2}"/>
    <hyperlink ref="G43" r:id="rId10" display="https://pa2.sap.topmanage.cloud/~~troexpec-rdp1/software/html5.html" xr:uid="{5143C39F-5F19-4B6E-B281-3DD4945B29EE}"/>
    <hyperlink ref="G45" r:id="rId11" display="https://pa2.sap.topmanage.cloud/~~troexpec-rdp1/software/html5.html" xr:uid="{29AF7FDB-C551-4A8A-8381-18E5526F7B86}"/>
    <hyperlink ref="G47" r:id="rId12" display="https://pa2.sap.topmanage.cloud/~~troexpec-rdp1/software/html5.html" xr:uid="{370ED859-D595-4DBB-9720-F09D42652F85}"/>
    <hyperlink ref="G64" r:id="rId13" display="https://pa2.sap.topmanage.cloud/~~troexpec-rdp1/software/html5.html" xr:uid="{5BBD18AA-0D89-4371-82BF-E0E93758EE9E}"/>
    <hyperlink ref="G92" r:id="rId14" display="https://pa2.sap.topmanage.cloud/~~troexpec-rdp1/software/html5.html" xr:uid="{D78D8236-91C2-4BD3-A517-C9D743419EE0}"/>
  </hyperlinks>
  <pageMargins left="0.7" right="0.7" top="0.75" bottom="0.75" header="0.3" footer="0.3"/>
  <pageSetup paperSize="9" orientation="portrait" verticalDpi="0" r:id="rId15"/>
  <drawing r:id="rId16"/>
  <legacyDrawing r:id="rId17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2C564A4-7EC3-4E98-840E-D34A0A6E1C5C}">
          <x14:formula1>
            <xm:f>Hoja1!$B$1:$B$14</xm:f>
          </x14:formula1>
          <xm:sqref>F72 F57:F59 F12 F15 F18 F25:F26 F32 F35:F37 F40:F41 F44 F46 F48 F55 F63 F65:F66 F69 F83</xm:sqref>
        </x14:dataValidation>
        <x14:dataValidation type="list" allowBlank="1" showInputMessage="1" showErrorMessage="1" xr:uid="{35919220-E6CF-464F-9C65-F4DC83B9C4C7}">
          <x14:formula1>
            <xm:f>Hoja1!$A$1:$A$8</xm:f>
          </x14:formula1>
          <xm:sqref>D12:D65 D69 D72 D77 D81 D83:D84 D86:D108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D1854-6C98-419A-9684-3D9F763F883F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F28-DCD3-4A86-8F2D-8D4D218D738F}">
  <dimension ref="A1:B14"/>
  <sheetViews>
    <sheetView workbookViewId="0">
      <selection activeCell="A23" sqref="A23"/>
    </sheetView>
  </sheetViews>
  <sheetFormatPr defaultColWidth="11.42578125" defaultRowHeight="15"/>
  <cols>
    <col min="2" max="2" width="14.5703125" bestFit="1" customWidth="1"/>
  </cols>
  <sheetData>
    <row r="1" spans="1:2">
      <c r="A1" t="s">
        <v>50</v>
      </c>
      <c r="B1" t="s">
        <v>286</v>
      </c>
    </row>
    <row r="2" spans="1:2">
      <c r="A2" t="s">
        <v>41</v>
      </c>
      <c r="B2" t="s">
        <v>26</v>
      </c>
    </row>
    <row r="3" spans="1:2">
      <c r="A3" t="s">
        <v>25</v>
      </c>
      <c r="B3" t="s">
        <v>152</v>
      </c>
    </row>
    <row r="4" spans="1:2">
      <c r="A4" t="s">
        <v>36</v>
      </c>
      <c r="B4" t="s">
        <v>287</v>
      </c>
    </row>
    <row r="5" spans="1:2">
      <c r="A5" t="s">
        <v>121</v>
      </c>
      <c r="B5" t="s">
        <v>288</v>
      </c>
    </row>
    <row r="6" spans="1:2">
      <c r="A6" t="s">
        <v>75</v>
      </c>
      <c r="B6" t="s">
        <v>289</v>
      </c>
    </row>
    <row r="7" spans="1:2">
      <c r="A7" t="s">
        <v>107</v>
      </c>
      <c r="B7" t="s">
        <v>290</v>
      </c>
    </row>
    <row r="8" spans="1:2">
      <c r="A8" t="s">
        <v>68</v>
      </c>
      <c r="B8" t="s">
        <v>291</v>
      </c>
    </row>
    <row r="9" spans="1:2">
      <c r="B9" t="s">
        <v>292</v>
      </c>
    </row>
    <row r="10" spans="1:2">
      <c r="B10" t="s">
        <v>293</v>
      </c>
    </row>
    <row r="11" spans="1:2">
      <c r="B11" t="s">
        <v>294</v>
      </c>
    </row>
    <row r="12" spans="1:2">
      <c r="B12" t="s">
        <v>295</v>
      </c>
    </row>
    <row r="13" spans="1:2">
      <c r="B13" t="s">
        <v>296</v>
      </c>
    </row>
    <row r="14" spans="1:2">
      <c r="B14" t="s">
        <v>297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2940C83F49F74C86A5064E9C67BCC6" ma:contentTypeVersion="15" ma:contentTypeDescription="Crear nuevo documento." ma:contentTypeScope="" ma:versionID="13f3c24145856c1791ef2f667525d1ec">
  <xsd:schema xmlns:xsd="http://www.w3.org/2001/XMLSchema" xmlns:xs="http://www.w3.org/2001/XMLSchema" xmlns:p="http://schemas.microsoft.com/office/2006/metadata/properties" xmlns:ns2="d7cc9838-674c-409c-a8de-abf108bf37df" xmlns:ns3="56d59986-b1a9-409a-867d-286ffcf75860" targetNamespace="http://schemas.microsoft.com/office/2006/metadata/properties" ma:root="true" ma:fieldsID="68cf5696be1a9639e2afa9bfd8962112" ns2:_="" ns3:_="">
    <xsd:import namespace="d7cc9838-674c-409c-a8de-abf108bf37df"/>
    <xsd:import namespace="56d59986-b1a9-409a-867d-286ffcf75860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cc9838-674c-409c-a8de-abf108bf37df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a8df10bf-1d5b-41b5-bdf3-459793abc5a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d59986-b1a9-409a-867d-286ffcf75860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a3737df0-2e23-4ed6-97db-c536e1fa40e1}" ma:internalName="TaxCatchAll" ma:showField="CatchAllData" ma:web="56d59986-b1a9-409a-867d-286ffcf758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5880E46-94C5-493B-AA8C-565BDBE16B6F}"/>
</file>

<file path=customXml/itemProps2.xml><?xml version="1.0" encoding="utf-8"?>
<ds:datastoreItem xmlns:ds="http://schemas.openxmlformats.org/officeDocument/2006/customXml" ds:itemID="{3121FC72-C134-40EC-B498-96E7AC6A9D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Génesis Daza</dc:creator>
  <cp:keywords/>
  <dc:description/>
  <cp:lastModifiedBy>Cristina Román Ramírez</cp:lastModifiedBy>
  <cp:revision/>
  <dcterms:created xsi:type="dcterms:W3CDTF">2023-05-23T03:38:29Z</dcterms:created>
  <dcterms:modified xsi:type="dcterms:W3CDTF">2025-10-29T19:31:11Z</dcterms:modified>
  <cp:category/>
  <cp:contentStatus/>
</cp:coreProperties>
</file>