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tropicalfruitexportsa-my.sharepoint.com/personal/croman_tropicalfruitexport_com/Documents/FUNCIONES 2025/COMEX/"/>
    </mc:Choice>
  </mc:AlternateContent>
  <xr:revisionPtr revIDLastSave="262" documentId="8_{5231A46A-EDDC-4BF8-9FD8-B4813D6CDADA}" xr6:coauthVersionLast="47" xr6:coauthVersionMax="47" xr10:uidLastSave="{DDCDB734-11C7-44DC-8733-D5801386369B}"/>
  <bookViews>
    <workbookView xWindow="-108" yWindow="-108" windowWidth="23256" windowHeight="13896" firstSheet="5" activeTab="5" xr2:uid="{6463E51F-8750-4E07-B234-62C7AEB7BD04}"/>
  </bookViews>
  <sheets>
    <sheet name="LIZBETH CAMPOVERDE " sheetId="10" r:id="rId1"/>
    <sheet name="MA.FERNANDA" sheetId="8" r:id="rId2"/>
    <sheet name="Hoja3" sheetId="4" state="hidden" r:id="rId3"/>
    <sheet name="Hoja1" sheetId="2" state="hidden" r:id="rId4"/>
    <sheet name="CESAR VALLE " sheetId="7" r:id="rId5"/>
    <sheet name="ANGIE VILLACRESES"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0" l="1"/>
  <c r="E29" i="9"/>
  <c r="E35" i="7" l="1"/>
  <c r="E2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Génesis Daza</author>
    <author>Lizbeth D. Campoverde</author>
  </authors>
  <commentList>
    <comment ref="B11" authorId="0" shapeId="0" xr:uid="{9AA73F51-5581-4CF3-9064-CDD514BD91D9}">
      <text>
        <r>
          <rPr>
            <b/>
            <sz val="9"/>
            <color indexed="81"/>
            <rFont val="Tahoma"/>
            <family val="2"/>
          </rPr>
          <t>Génesis Daza:</t>
        </r>
        <r>
          <rPr>
            <sz val="9"/>
            <color indexed="81"/>
            <rFont val="Tahoma"/>
            <family val="2"/>
          </rPr>
          <t xml:space="preserve">
Función general</t>
        </r>
      </text>
    </comment>
    <comment ref="C11" authorId="0" shapeId="0" xr:uid="{BD6AE430-455E-43E5-969E-4A554682BBA8}">
      <text>
        <r>
          <rPr>
            <b/>
            <sz val="9"/>
            <color indexed="81"/>
            <rFont val="Tahoma"/>
            <family val="2"/>
          </rPr>
          <t>Génesis Daza:</t>
        </r>
        <r>
          <rPr>
            <sz val="9"/>
            <color indexed="81"/>
            <rFont val="Tahoma"/>
            <family val="2"/>
          </rPr>
          <t xml:space="preserve">
Acciones específicas de acuerdo a la función general</t>
        </r>
      </text>
    </comment>
    <comment ref="D11" authorId="0" shapeId="0" xr:uid="{BECA1750-4F21-470A-9D5B-E85E3F3235FC}">
      <text>
        <r>
          <rPr>
            <b/>
            <sz val="9"/>
            <color indexed="81"/>
            <rFont val="Tahoma"/>
            <family val="2"/>
          </rPr>
          <t>Génesis Daza:</t>
        </r>
        <r>
          <rPr>
            <sz val="9"/>
            <color indexed="81"/>
            <rFont val="Tahoma"/>
            <family val="2"/>
          </rPr>
          <t xml:space="preserve">
Diaria
Semanal
Quincenal
Mensual
Semestral
Anual</t>
        </r>
      </text>
    </comment>
    <comment ref="E11" authorId="0" shapeId="0" xr:uid="{92229F1B-C5EC-4CEA-A951-F028E66698DF}">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041A23BE-8240-4269-9FFC-B45147983CCE}">
      <text>
        <r>
          <rPr>
            <b/>
            <sz val="9"/>
            <color indexed="81"/>
            <rFont val="Tahoma"/>
            <family val="2"/>
          </rPr>
          <t>Génesis Daza:</t>
        </r>
        <r>
          <rPr>
            <sz val="9"/>
            <color indexed="81"/>
            <rFont val="Tahoma"/>
            <family val="2"/>
          </rPr>
          <t xml:space="preserve">
Área/Dpto relacionado</t>
        </r>
      </text>
    </comment>
    <comment ref="G11" authorId="0" shapeId="0" xr:uid="{9D6C8E15-3F9C-4EE5-8EA4-A036B31DBC23}">
      <text>
        <r>
          <rPr>
            <b/>
            <sz val="9"/>
            <color indexed="81"/>
            <rFont val="Tahoma"/>
            <family val="2"/>
          </rPr>
          <t>Génesis Daza:</t>
        </r>
        <r>
          <rPr>
            <sz val="9"/>
            <color indexed="81"/>
            <rFont val="Tahoma"/>
            <family val="2"/>
          </rPr>
          <t xml:space="preserve">
Sistema
Software
(Odoo, Evolution, otros)
Matriz Excel</t>
        </r>
      </text>
    </comment>
    <comment ref="H11" authorId="0" shapeId="0" xr:uid="{5A27D8D6-1AE0-41BB-B77F-691DD640B9C3}">
      <text>
        <r>
          <rPr>
            <b/>
            <sz val="9"/>
            <color indexed="81"/>
            <rFont val="Tahoma"/>
            <family val="2"/>
          </rPr>
          <t>Génesis Daza:</t>
        </r>
        <r>
          <rPr>
            <sz val="9"/>
            <color indexed="81"/>
            <rFont val="Tahoma"/>
            <family val="2"/>
          </rPr>
          <t xml:space="preserve">
Links de páginas web si lo requiere
Escritorio (PC)
Físico (archivo)</t>
        </r>
      </text>
    </comment>
    <comment ref="F17" authorId="1" shapeId="0" xr:uid="{86443DFC-DC6C-4EA2-B646-2AB5EB379CB4}">
      <text>
        <r>
          <rPr>
            <b/>
            <sz val="9"/>
            <color indexed="81"/>
            <rFont val="Tahoma"/>
            <family val="2"/>
          </rPr>
          <t>Lizbeth D. Campoverde:</t>
        </r>
        <r>
          <rPr>
            <sz val="9"/>
            <color indexed="81"/>
            <rFont val="Tahoma"/>
            <family val="2"/>
          </rPr>
          <t xml:space="preserve">
COMERCIAL </t>
        </r>
      </text>
    </comment>
    <comment ref="F24" authorId="1" shapeId="0" xr:uid="{905A5B13-8894-4AF6-9020-49063F3485AA}">
      <text>
        <r>
          <rPr>
            <b/>
            <sz val="9"/>
            <color indexed="81"/>
            <rFont val="Tahoma"/>
            <family val="2"/>
          </rPr>
          <t>Lizbeth D. Campoverde:</t>
        </r>
        <r>
          <rPr>
            <sz val="9"/>
            <color indexed="81"/>
            <rFont val="Tahoma"/>
            <family val="2"/>
          </rPr>
          <t xml:space="preserve">
COMERCIAL </t>
        </r>
      </text>
    </comment>
    <comment ref="F26" authorId="1" shapeId="0" xr:uid="{0EEA565B-1ED8-4832-A3B5-DE3DD5416305}">
      <text>
        <r>
          <rPr>
            <b/>
            <sz val="9"/>
            <color indexed="81"/>
            <rFont val="Tahoma"/>
            <family val="2"/>
          </rPr>
          <t>Lizbeth D. Campoverde:</t>
        </r>
        <r>
          <rPr>
            <sz val="9"/>
            <color indexed="81"/>
            <rFont val="Tahoma"/>
            <family val="2"/>
          </rPr>
          <t xml:space="preserve">
COMERCIAL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4BB2303F-FD48-435A-9E39-DF63DF544BD3}">
      <text>
        <r>
          <rPr>
            <sz val="11"/>
            <color theme="1"/>
            <rFont val="Calibri"/>
            <family val="2"/>
            <scheme val="minor"/>
          </rPr>
          <t xml:space="preserve">
Función general</t>
        </r>
      </text>
    </comment>
    <comment ref="C11" authorId="0" shapeId="0" xr:uid="{D736F9E6-9CD6-435D-A97B-DC99381B8956}">
      <text>
        <r>
          <rPr>
            <sz val="11"/>
            <color theme="1"/>
            <rFont val="Calibri"/>
            <family val="2"/>
            <scheme val="minor"/>
          </rPr>
          <t xml:space="preserve">
Acciones específicas de acuerdo a la función general</t>
        </r>
      </text>
    </comment>
    <comment ref="D11" authorId="0" shapeId="0" xr:uid="{64DD3C96-73E2-46B6-B6D3-176B9020C4C4}">
      <text>
        <r>
          <rPr>
            <sz val="11"/>
            <color theme="1"/>
            <rFont val="Calibri"/>
            <family val="2"/>
            <scheme val="minor"/>
          </rPr>
          <t xml:space="preserve">
Diaria
Semanal
Quincenal
Mensual
Semestral
Anual</t>
        </r>
      </text>
    </comment>
    <comment ref="E11" authorId="0" shapeId="0" xr:uid="{64C68835-03E5-4DAF-81CB-562D9F8FAFF9}">
      <text>
        <r>
          <rPr>
            <sz val="11"/>
            <color theme="1"/>
            <rFont val="Calibri"/>
            <family val="2"/>
            <scheme val="minor"/>
          </rPr>
          <t xml:space="preserve">Porcentaje: Dentro de un 100% que porcentaje toma esa tarea </t>
        </r>
      </text>
    </comment>
    <comment ref="F11" authorId="0" shapeId="0" xr:uid="{9488A6B7-F619-4743-AFA6-2F5BBD958ABF}">
      <text>
        <r>
          <rPr>
            <b/>
            <sz val="9"/>
            <color indexed="81"/>
            <rFont val="Tahoma"/>
            <family val="2"/>
          </rPr>
          <t>Génesis Daza:</t>
        </r>
        <r>
          <rPr>
            <sz val="9"/>
            <color indexed="81"/>
            <rFont val="Tahoma"/>
            <family val="2"/>
          </rPr>
          <t xml:space="preserve">
Área/Dpto relacionado</t>
        </r>
      </text>
    </comment>
    <comment ref="G11" authorId="0" shapeId="0" xr:uid="{3FA7A7BD-4E2F-436B-A9B6-86BBA32D357E}">
      <text>
        <r>
          <rPr>
            <sz val="11"/>
            <color theme="1"/>
            <rFont val="Calibri"/>
            <family val="2"/>
            <scheme val="minor"/>
          </rPr>
          <t xml:space="preserve">
Sistema
Software
(Sap, Evolution, otros)
Matriz Excel</t>
        </r>
      </text>
    </comment>
    <comment ref="H11" authorId="0" shapeId="0" xr:uid="{D0FC6982-2546-4B13-84DC-8AA91BC23383}">
      <text>
        <r>
          <rPr>
            <sz val="11"/>
            <color theme="1"/>
            <rFont val="Calibri"/>
            <family val="2"/>
            <scheme val="minor"/>
          </rPr>
          <t xml:space="preserve">
Links de páginas web si lo requiere
Escritorio (PC)
Físico (archivo)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AE2D8FFF-7D48-4C89-A3BA-93C65E0EF17A}">
      <text>
        <r>
          <rPr>
            <b/>
            <sz val="9"/>
            <color indexed="81"/>
            <rFont val="Tahoma"/>
            <family val="2"/>
          </rPr>
          <t>Génesis Daza:</t>
        </r>
        <r>
          <rPr>
            <sz val="9"/>
            <color indexed="81"/>
            <rFont val="Tahoma"/>
            <family val="2"/>
          </rPr>
          <t xml:space="preserve">
Función general</t>
        </r>
      </text>
    </comment>
    <comment ref="C11" authorId="0" shapeId="0" xr:uid="{EE8B78C0-AB60-41FA-93BE-AF475F95254C}">
      <text>
        <r>
          <rPr>
            <b/>
            <sz val="9"/>
            <color indexed="81"/>
            <rFont val="Tahoma"/>
            <family val="2"/>
          </rPr>
          <t>Génesis Daza:</t>
        </r>
        <r>
          <rPr>
            <sz val="9"/>
            <color indexed="81"/>
            <rFont val="Tahoma"/>
            <family val="2"/>
          </rPr>
          <t xml:space="preserve">
Acciones específicas de acuerdo a la función general</t>
        </r>
      </text>
    </comment>
    <comment ref="D11" authorId="0" shapeId="0" xr:uid="{5B23A4F2-D09C-4C05-B48B-2317E0913460}">
      <text>
        <r>
          <rPr>
            <b/>
            <sz val="9"/>
            <color indexed="81"/>
            <rFont val="Tahoma"/>
            <family val="2"/>
          </rPr>
          <t>Génesis Daza:</t>
        </r>
        <r>
          <rPr>
            <sz val="9"/>
            <color indexed="81"/>
            <rFont val="Tahoma"/>
            <family val="2"/>
          </rPr>
          <t xml:space="preserve">
Diaria
Semanal
Quincenal
Mensual
Semestral
Anual</t>
        </r>
      </text>
    </comment>
    <comment ref="E11" authorId="0" shapeId="0" xr:uid="{9BFE8C72-7D58-4010-9211-73B18CAAA504}">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2F57C517-1752-4B12-AB88-A07D786BC712}">
      <text>
        <r>
          <rPr>
            <b/>
            <sz val="9"/>
            <color indexed="81"/>
            <rFont val="Tahoma"/>
            <family val="2"/>
          </rPr>
          <t>Génesis Daza:</t>
        </r>
        <r>
          <rPr>
            <sz val="9"/>
            <color indexed="81"/>
            <rFont val="Tahoma"/>
            <family val="2"/>
          </rPr>
          <t xml:space="preserve">
Área/Dpto relacionado</t>
        </r>
      </text>
    </comment>
    <comment ref="G11" authorId="0" shapeId="0" xr:uid="{245E9ABC-CACE-41DF-B3C7-15F001C008E1}">
      <text>
        <r>
          <rPr>
            <b/>
            <sz val="9"/>
            <color indexed="81"/>
            <rFont val="Tahoma"/>
            <family val="2"/>
          </rPr>
          <t>Génesis Daza:</t>
        </r>
        <r>
          <rPr>
            <sz val="9"/>
            <color indexed="81"/>
            <rFont val="Tahoma"/>
            <family val="2"/>
          </rPr>
          <t xml:space="preserve">
Sistema
Software
(Odoo, Evolution, otros)
Matriz Excel</t>
        </r>
      </text>
    </comment>
    <comment ref="H11" authorId="0" shapeId="0" xr:uid="{F214527F-6B4A-45BC-9FB4-9A03CFF6A4F4}">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234B44CD-F6F9-45AB-BDA2-0474A0D33EDA}">
      <text>
        <r>
          <rPr>
            <b/>
            <sz val="9"/>
            <color indexed="81"/>
            <rFont val="Tahoma"/>
            <family val="2"/>
          </rPr>
          <t>Génesis Daza:</t>
        </r>
        <r>
          <rPr>
            <sz val="9"/>
            <color indexed="81"/>
            <rFont val="Tahoma"/>
            <family val="2"/>
          </rPr>
          <t xml:space="preserve">
Función general</t>
        </r>
      </text>
    </comment>
    <comment ref="C11" authorId="0" shapeId="0" xr:uid="{D5B5CBE2-ED3B-49E8-A059-AE222E6CC9FE}">
      <text>
        <r>
          <rPr>
            <b/>
            <sz val="9"/>
            <color indexed="81"/>
            <rFont val="Tahoma"/>
            <family val="2"/>
          </rPr>
          <t>Génesis Daza:</t>
        </r>
        <r>
          <rPr>
            <sz val="9"/>
            <color indexed="81"/>
            <rFont val="Tahoma"/>
            <family val="2"/>
          </rPr>
          <t xml:space="preserve">
Acciones específicas de acuerdo a la función general</t>
        </r>
      </text>
    </comment>
    <comment ref="D11" authorId="0" shapeId="0" xr:uid="{DA3C698F-2BEF-417E-B53A-1D0767666583}">
      <text>
        <r>
          <rPr>
            <b/>
            <sz val="9"/>
            <color indexed="81"/>
            <rFont val="Tahoma"/>
            <family val="2"/>
          </rPr>
          <t>Génesis Daza:</t>
        </r>
        <r>
          <rPr>
            <sz val="9"/>
            <color indexed="81"/>
            <rFont val="Tahoma"/>
            <family val="2"/>
          </rPr>
          <t xml:space="preserve">
Diaria
Semanal
Quincenal
Mensual
Semestral
Anual</t>
        </r>
      </text>
    </comment>
    <comment ref="E11" authorId="0" shapeId="0" xr:uid="{04683A2F-9CC8-4642-87C5-DDEE435D9BB0}">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787D38A8-DBD2-4EA4-83F3-5C1BE184B314}">
      <text>
        <r>
          <rPr>
            <b/>
            <sz val="9"/>
            <color indexed="81"/>
            <rFont val="Tahoma"/>
            <family val="2"/>
          </rPr>
          <t>Génesis Daza:</t>
        </r>
        <r>
          <rPr>
            <sz val="9"/>
            <color indexed="81"/>
            <rFont val="Tahoma"/>
            <family val="2"/>
          </rPr>
          <t xml:space="preserve">
Área/Dpto relacionado</t>
        </r>
      </text>
    </comment>
    <comment ref="G11" authorId="0" shapeId="0" xr:uid="{5F4C667A-576D-4A06-892C-E56EFF9EED3E}">
      <text>
        <r>
          <rPr>
            <b/>
            <sz val="9"/>
            <color indexed="81"/>
            <rFont val="Tahoma"/>
            <family val="2"/>
          </rPr>
          <t>Génesis Daza:</t>
        </r>
        <r>
          <rPr>
            <sz val="9"/>
            <color indexed="81"/>
            <rFont val="Tahoma"/>
            <family val="2"/>
          </rPr>
          <t xml:space="preserve">
Sistema
Software
(Odoo, Evolution, otros)
Matriz Excel</t>
        </r>
      </text>
    </comment>
    <comment ref="H11" authorId="0" shapeId="0" xr:uid="{1549B444-15E5-4DD0-AC79-93F92E0F3B8D}">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sharedStrings.xml><?xml version="1.0" encoding="utf-8"?>
<sst xmlns="http://schemas.openxmlformats.org/spreadsheetml/2006/main" count="585" uniqueCount="293">
  <si>
    <t>MATRIZ DE FUNCIONES</t>
  </si>
  <si>
    <t>Código:  F-TH-012</t>
  </si>
  <si>
    <t>Fecha: 06/07/2024</t>
  </si>
  <si>
    <t>Versión: 01</t>
  </si>
  <si>
    <t>Formato: Según necesidades de registro</t>
  </si>
  <si>
    <t>Aprobado por: Alta Dirección</t>
  </si>
  <si>
    <t>Página 1 de 2</t>
  </si>
  <si>
    <t>Medio de Comunicación: Físico</t>
  </si>
  <si>
    <t>Idioma: Español</t>
  </si>
  <si>
    <t xml:space="preserve">Área: </t>
  </si>
  <si>
    <t>Comercio Exterior</t>
  </si>
  <si>
    <t xml:space="preserve">Cargo: </t>
  </si>
  <si>
    <t>Jefe Comercio Exterior</t>
  </si>
  <si>
    <t>Reporta a:</t>
  </si>
  <si>
    <t>Jaime Andrés Ferre Merino</t>
  </si>
  <si>
    <r>
      <t>N</t>
    </r>
    <r>
      <rPr>
        <b/>
        <sz val="11"/>
        <color theme="0"/>
        <rFont val="Calibri"/>
        <family val="2"/>
      </rPr>
      <t>°</t>
    </r>
  </si>
  <si>
    <t>FUNCIÓN</t>
  </si>
  <si>
    <t>ACCIONES</t>
  </si>
  <si>
    <t>FRECUENCIA</t>
  </si>
  <si>
    <t>VOLUMEN</t>
  </si>
  <si>
    <t>PROCESO</t>
  </si>
  <si>
    <t>RECURSO</t>
  </si>
  <si>
    <t>UBICACIÓN</t>
  </si>
  <si>
    <t xml:space="preserve">Mitigar y solucionar inconvenientes con las navieras durante el proceso de exportación. </t>
  </si>
  <si>
    <t xml:space="preserve">Seguimiento en la asignación de equipos / Gestión de espacios con navieras / Release de contenedores según estados de cuenta/ Coordinación de operaciones relacionadas con cambios de cut-off / Monitoreo de la correcta aplicación de las concesiones especiales por parte de la naviera ( coneciones ) </t>
  </si>
  <si>
    <t>Diario</t>
  </si>
  <si>
    <t>Operaciones Banano</t>
  </si>
  <si>
    <t xml:space="preserve"> Microsoft Office-Comunciacion constante con Jefes Area</t>
  </si>
  <si>
    <t xml:space="preserve">EMAIL </t>
  </si>
  <si>
    <t xml:space="preserve">Control operativo de actividades Aduanera y Portuarias realacionadas a la exportacion. </t>
  </si>
  <si>
    <t xml:space="preserve">Seguimiento de Procesos de aforo / Carga NO exportadas / Trasvasije / Re-exportacion / Salida autorizadas / Emision de credenciales para accesos puerto. </t>
  </si>
  <si>
    <t>Logistica</t>
  </si>
  <si>
    <t xml:space="preserve">Gestionar y dar seguimiento de organismo de control (MAGAP,SENAE, AGROCALIDAD, MIPRO) </t>
  </si>
  <si>
    <t xml:space="preserve">Seguimiento Vigencias -Registro de renovacion de exportadores de Bananos &amp; Platanos /Contratos / Recisiones / Adendum / aumento de productividad / Cupo semanal / Fuera de cupo / Caucion / Auditorias del MAG - SENAE - AGROCALIDAD - AGENTE DE ADUANA </t>
  </si>
  <si>
    <t>Semanal</t>
  </si>
  <si>
    <t xml:space="preserve">Paginas Web  -Comunciacion constante con Jefes Area. </t>
  </si>
  <si>
    <t xml:space="preserve">https://servicios.mag.gob.ec/unibanano/      https://www.aduana.gob.ec/                 https://guia.agrocalidad.gob.ec/agrodb/ingreso.php </t>
  </si>
  <si>
    <t>Aprobacion de fletes SAP Multinational de Navieras.</t>
  </si>
  <si>
    <t xml:space="preserve">Verificacion de que el monto del flete coincida con lo contratado con la navieras en SAP y con lo facturado Vs Costeo /Asegurar que no existan cargos no autorizados o fuera del acuerdo con la naviera/  Gestion &amp; Seguimiento de cobros de Rebate &amp; VID / Generar y enviar reporte de fletes como soporte para la asignación del flete correspondiente a cada BL . </t>
  </si>
  <si>
    <t>Tesoreria</t>
  </si>
  <si>
    <t xml:space="preserve"> Microsoft Office</t>
  </si>
  <si>
    <t>SAP / ESCRITORIO - PAGO NAVIERA - AÑO - ULTIMA VERSION</t>
  </si>
  <si>
    <t xml:space="preserve">Aprobacion de facturas de proveedores realacionadas a Comex SAP TSER - SAP TFE  </t>
  </si>
  <si>
    <t xml:space="preserve">Revision &amp; Aprobacion de facturas de proveedores Comex vs Costeo SAP / Registro reporte de Comex  para evitar duplicidad de pago o que no esten dentro del presupuesto. </t>
  </si>
  <si>
    <t xml:space="preserve">SAP / RED – TROPICALFRUIT EXPORT – PROGRAMACION TFE - REPORTE COMEX - AÑO - SEMANA </t>
  </si>
  <si>
    <t>Elaboracion Fitosanitarios / Certificados Oirgen - Naviera ST &amp; Digitalizacion en la red</t>
  </si>
  <si>
    <t>Recopilación bl´s finales, facturas exportación, ingreso de información en Sistema Guía Agrocilidad para fitosanitarios y en Ecuapass para Certificados de origen, impresión fitos para firma, impresión de BL´s para envío de documentos y digitalizar cada documento en la red para trazabilidad.</t>
  </si>
  <si>
    <t>Administración</t>
  </si>
  <si>
    <t xml:space="preserve">RED – TROPICALFRUIT EXPORT – PROGRAMACION TFE -GUIAS DHL - AÑO- SEMANA </t>
  </si>
  <si>
    <t xml:space="preserve">Gestionar y dar seguimiento importaciones de materiales a regimenes espciales </t>
  </si>
  <si>
    <t xml:space="preserve">Llevar el control de arribos de importacion por producto, cliente, naviera - Revisar que todos los documentos del cliente cumplan con los requisitos para validar con la Aduana - Informar al agente de aduana para pre-liquidacion de poliza para asegurar la carga - Dar seguimiento al arribo de la carga para que el agente de aduana pueda transmitir, seguimiento al aforo asignado, coordinar el transporte para el retiro de la carga , generar pases de puerta, aprobacion de todos los costo asociados a la importacion SAP y generar reporte de liquidacion de gastos para las areas correspondientes. </t>
  </si>
  <si>
    <t>ESCRITORIO TFE (H)- COMERCIO EXTERIOR - IMPORTACIONES - AÑO - PRODUCTO IMPORTADO - CARPETA NOMBRE DEL BUQUE</t>
  </si>
  <si>
    <t xml:space="preserve">Abastecimiento de contenendores de Hapaglloyd para CLSJ </t>
  </si>
  <si>
    <t xml:space="preserve">Solicitar y dar seguimiento al stock de las unidades en CLSJ vs proveeduria de Hapaglloyd Colombia - Acorde al volumen de exportacion semanal e inventario de CLSJ </t>
  </si>
  <si>
    <t xml:space="preserve"> Microsoft Office- Comunicación constante con Abelardo Andrade - Whatsapp Colombia abastecimiento.</t>
  </si>
  <si>
    <t xml:space="preserve">EMAIL - WHATSAPP </t>
  </si>
  <si>
    <r>
      <t>Abastecimiento  &amp;</t>
    </r>
    <r>
      <rPr>
        <sz val="11"/>
        <rFont val="Calibri"/>
        <family val="2"/>
        <scheme val="minor"/>
      </rPr>
      <t xml:space="preserve"> Control de Inventario de Sellos de Hapaglloyd - Seatrade &amp; ONE </t>
    </r>
  </si>
  <si>
    <t>Solicitar y dar seguimiento al stock de sellos en CLSJ vs proveeduria de Hapaglloyd - ONE - SEATRADE ( Ecuador) / Validar informacion de CSLJ / Realizar acta de reposicion de sellos semanal</t>
  </si>
  <si>
    <t xml:space="preserve"> Microsoft Office- Comunicación constantes con despacho de CLSJ </t>
  </si>
  <si>
    <t xml:space="preserve">ESCRITORIO - INVENTARIO SELLOS - NAVIERA- - ULTIMA VERSION </t>
  </si>
  <si>
    <t>Control de costos extras.</t>
  </si>
  <si>
    <t xml:space="preserve">Registrar - Dar seguimiento costos adicionales, con el objetivo de minimizar todos los gastos no contemplados en la operación / Cancelacion de pallets / Devolucion de contenedores / Detention / Inspecciones Origen - trasbordo /Aforo/  Repesaje /Almacenaje etc etc </t>
  </si>
  <si>
    <t xml:space="preserve">/ RED – TROPICALFRUIT EXPORT – PROGRAMACION TFE - REPORTE COSTO EXTRA - AÑO </t>
  </si>
  <si>
    <t xml:space="preserve">BL - Naviera Seatrade </t>
  </si>
  <si>
    <t>Seguimiento informacion FTL /Elaboracion Proforma / Elaboracion BL final dentro del cut off documental.</t>
  </si>
  <si>
    <t>Comex</t>
  </si>
  <si>
    <t xml:space="preserve">RED – TROPICALFRUIT EXPORT – PROGRAMACION TFE -BLS - AÑO - SEMANA </t>
  </si>
  <si>
    <t>Seguimiento de KPI - COMEX</t>
  </si>
  <si>
    <t>Actualizacion Comex - Revision Ecuapass Manifiesto de naviera vs fecha cierre de exportacion / Cumplimiento Marca contenedor / Cumplimiento aprobacion de docuemntos correctamente.</t>
  </si>
  <si>
    <t>Certificaciones</t>
  </si>
  <si>
    <t>RED – TROPICALFRUIT EXPORT – PROGRAMACION TFE -REPORTE COMEX - KPI</t>
  </si>
  <si>
    <r>
      <t>Cotizaciones &amp;  Revision de tarifas Navieras</t>
    </r>
    <r>
      <rPr>
        <b/>
        <sz val="11"/>
        <color rgb="FFFF0000"/>
        <rFont val="Calibri"/>
        <family val="2"/>
        <scheme val="minor"/>
      </rPr>
      <t xml:space="preserve">. </t>
    </r>
  </si>
  <si>
    <t xml:space="preserve">Contactar directamente a las navieras o agentes de carga / Pedir tarifas desglosadas (flete base, recargos, BAF, THCO, THCD,GL etc.) / Solicitar condiciones de Origen o destino </t>
  </si>
  <si>
    <t xml:space="preserve"> Microsoft Office- Comunicación constante con Comercial</t>
  </si>
  <si>
    <t>Seguimiento de bajar el inventario en el Ecuapass de productos importados.</t>
  </si>
  <si>
    <t xml:space="preserve">Descargar semanalmente el reporte de facturacion de exportacion de comercial  - Validar con el BL de exportacion - Enviar reporte a Supply para validar la informacion para consumo de regimenes especiales, y enviar al asesor de regimenes para la compensacion en el sistema de Ecuapass vs a la carga importada. </t>
  </si>
  <si>
    <t>Supply</t>
  </si>
  <si>
    <t xml:space="preserve"> Microsoft Office - Comunicación con Supply &amp; Agente de regimenes especiales. </t>
  </si>
  <si>
    <t>Soporte Financiero DAE</t>
  </si>
  <si>
    <t xml:space="preserve">Enviar DAES solicitadas por Comercial acorde a la naviera , cliente &amp; producto. </t>
  </si>
  <si>
    <t xml:space="preserve">Email </t>
  </si>
  <si>
    <t>EMAIL - RED – TROPICALFRUIT EXPORT – PROGRAMACION TFE- EXPORTACION SEMANAL - NAVIERAS</t>
  </si>
  <si>
    <t>Elaboracion de DAE naviera asignda</t>
  </si>
  <si>
    <t>Elaboracion AUCP-ECUAPASS  acorde a la planificacion semanal de reservas.</t>
  </si>
  <si>
    <t xml:space="preserve">RED – TROPICALFRUIT EXPORT – PROGRAMACION TFE - FORMATO DCP - DCP - AÑO - SEMANA </t>
  </si>
  <si>
    <t xml:space="preserve">Regularizacion de Dae naviera asignada </t>
  </si>
  <si>
    <t xml:space="preserve">Posterior a la exportacion se valida la informacion con reporte de factura vs Bls para cerrar regularizar en la SENAE para el cierre. </t>
  </si>
  <si>
    <t>Digitalizacion de Dae naviera asignada</t>
  </si>
  <si>
    <t xml:space="preserve">Validar que la aduana cierre la exportacion, dentro del KPI interno de 15 dias al manifiesto de la carga - acorde con lo anteriormente mencionado. </t>
  </si>
  <si>
    <t xml:space="preserve">Dar seguimiento al archivo digital de la trazabilidad de las exportaciones. </t>
  </si>
  <si>
    <t>Revisar aleatoriamente las carpetas de la trazabildiad de los documentos generados por el equipo Comex</t>
  </si>
  <si>
    <t>RED</t>
  </si>
  <si>
    <t xml:space="preserve">RED – TROPICALFRUIT EXPORT – PROGRAMACION TFE </t>
  </si>
  <si>
    <t>Supervisión del equipo a cargo y adecuación de funciones según las necesidades de la empresa</t>
  </si>
  <si>
    <t>Control y evaluación del desempeño del personal a cargo, con revisión periódica de sus funciones conforme a los requerimientos estratégicos y operativos de la empresa.</t>
  </si>
  <si>
    <t>PSC - COMEX-  DISTRIBUCION DE FUNCIONES</t>
  </si>
  <si>
    <t>Elaborado por:</t>
  </si>
  <si>
    <t>Revisado por:</t>
  </si>
  <si>
    <t>Aprobado por:</t>
  </si>
  <si>
    <t>Nombre del colaborador:</t>
  </si>
  <si>
    <t>Coordinador Comex</t>
  </si>
  <si>
    <t>Reservas y Actualizaciones de espacios de las Navieras</t>
  </si>
  <si>
    <t>Pagínas web navieras, terminaes portuarios, correo</t>
  </si>
  <si>
    <t>https://www.hapag-lloyd.com,mymsc.com,
https://my.zim.com/https://www.cma-cgm.com/</t>
  </si>
  <si>
    <t>Cierre de exportacion de navieras asignadas ; hasta 15 dias posterior al manifiesto de navieras asignadas &amp; Digitalizacion en la Red.</t>
  </si>
  <si>
    <t>Recopilación facturas exportación, revisión Ecuapass de informes de ingreso de unidades, ingreso de información en Ecuapass</t>
  </si>
  <si>
    <t>Ecuapass (Aduana)</t>
  </si>
  <si>
    <t>https://www.aduana.gob.ec/</t>
  </si>
  <si>
    <t>Magap Bananos  ( descuentos)</t>
  </si>
  <si>
    <t>Ingreso informacion en Ecuapass (Control proceso semanal enviado por departamento contable) asignación de códigos de productores para cargas sin contrato/cupo, digitalización planes embarque en red</t>
  </si>
  <si>
    <t>https://www.aduana.gob.ec/
RED – TROPICALFRUIT EXPORT – PROGRAMACION TFE / DOCUMENTOS</t>
  </si>
  <si>
    <t>Solicitudes de Inspecciones de Agrocalidad Bananos &amp; Platanos</t>
  </si>
  <si>
    <t>Revisión programación diaria, ingreso información en Sistema Guía Agrocalidad (cantidades, productores, pesos )</t>
  </si>
  <si>
    <t>Sistema Guía Agrocalidad</t>
  </si>
  <si>
    <t>https://guia.agrocalidad.gob.ec</t>
  </si>
  <si>
    <t xml:space="preserve">Elaboracion Fitosanitarios &amp; Certificados Oirgen de Bananos y Platanos de todos las navieras asignadas. </t>
  </si>
  <si>
    <t>Recopilación bl´s finales, facturas exportación, ingreso de información en Sistema Guía Agrocilidad para fitosanitarios y en Ecuapass para Certificados de origen, impresión fitos para firma, impresión de bl´s para envío de documentos</t>
  </si>
  <si>
    <t>Sistema Guía Agrocalidad, Ecuapass (Aduana)</t>
  </si>
  <si>
    <t>https://guia.agrocalidad.gob.ec,https://www.aduana.gob.ec/</t>
  </si>
  <si>
    <t xml:space="preserve">Ingreso Proformas  KUEHNE NAGEL - HAPAGLLOYD &amp; WALMART CHILE </t>
  </si>
  <si>
    <t>Envío formato excel, ingreso proforma en página web</t>
  </si>
  <si>
    <t>Pagínas web navieras,correo</t>
  </si>
  <si>
    <t>https://www.hapag-lloyd</t>
  </si>
  <si>
    <t>Distribucion Ordenes de Retiro para el transporte</t>
  </si>
  <si>
    <t>Revisión detalles de órdenes de retiro, envío de correos a departamento de transporte, digitalización en la red</t>
  </si>
  <si>
    <t>Correo interno</t>
  </si>
  <si>
    <t>RED – TROPICALFRUIT EXPORT – PROGRAMACION TFE / DOCUMENTOS</t>
  </si>
  <si>
    <t>OK Bls  KUEHNE NAGEL - HAPAGLLOYD  &amp; CHILE y otra naviera con destino EUROPA y guardar en la red los Bls definitivos.</t>
  </si>
  <si>
    <t>Revisión consolidación Ftl y control plátano previo aprobacion Bill of lading</t>
  </si>
  <si>
    <t>Consolidación</t>
  </si>
  <si>
    <t>Correo electronico</t>
  </si>
  <si>
    <t>Reducciones &amp; salidas autorizadas de todas las  navieras asignadas.</t>
  </si>
  <si>
    <t>Revisión cantidades a exportar con Operaciones, ingreso a Sistema Ecuapass Aduana para verificación unidades</t>
  </si>
  <si>
    <t>Provision  -Digitalización Red &amp; Coordinacion mensajeria  CO + FITO de navieras asignadas</t>
  </si>
  <si>
    <t>Provisión para Dep. Financiero para fondear valores asignados a Agrocalidad y Ministerio comercio exterior para elaboración de fitos y certificados de origen, Recopilación de documentos, bl´s , facturas , elaboración e impresión de guías Dhl para envío de documentos y digitalización de documentos para envíos a cliente</t>
  </si>
  <si>
    <t>Financiero</t>
  </si>
  <si>
    <t>Envío correos a financiero, pagína web Dhl</t>
  </si>
  <si>
    <t>mydhl.express.dh, correo interno
RED – TROPICALFRUIT EXPORT – PROGRAMACION TFE / DOCUMENTOS</t>
  </si>
  <si>
    <t xml:space="preserve">Restibas - Trasvasijes- AFORO - Carga NO EXPORTADA o todo lo relacionado con Aduanas. </t>
  </si>
  <si>
    <t>Recopilación información, proceso en Ecuapass, gestión con navieras, puerto, departamento de seguridad, transporte para retiro de unidades</t>
  </si>
  <si>
    <t>Trimestral</t>
  </si>
  <si>
    <t>Correos externos, sistema Ecuapass</t>
  </si>
  <si>
    <t>AUCP - Apertura de Daes de navieras asignadas</t>
  </si>
  <si>
    <t>Revisión programación y pedidos de Dpto Comercial, ingreso de información en Ecuapass, digitalización en red</t>
  </si>
  <si>
    <t>Revision por booking de nave de exportacion en DP WORLD.</t>
  </si>
  <si>
    <t>Verificación de unidades a exportar en página web de terminal portuario</t>
  </si>
  <si>
    <t>Sistema terminal portuario</t>
  </si>
  <si>
    <t>https://dponline.dpworldposorja.ec/</t>
  </si>
  <si>
    <t xml:space="preserve">Actualizacion y Registro de reservas de FTL </t>
  </si>
  <si>
    <t>Revisión programación, pedidos Dpto Comercial, ingreso información en Ftl</t>
  </si>
  <si>
    <t>FTL</t>
  </si>
  <si>
    <t>https://ftl.tropicalfruitexport.com</t>
  </si>
  <si>
    <t xml:space="preserve">Documentos para inspecciones antinarcoticos u aforo de naviera asignada. </t>
  </si>
  <si>
    <t>Recopilación documentos, Dae, factura,documentos delegado y de la empresa, envío de correos a terminales portuarios</t>
  </si>
  <si>
    <t>Correos internos y externos</t>
  </si>
  <si>
    <t>EMAIL</t>
  </si>
  <si>
    <t>Ingreso de factura de proveedores Comex SAP TFE (Solo DP WORLD)</t>
  </si>
  <si>
    <t>Revisión de detalle de facturas, ingreso de información en SAP</t>
  </si>
  <si>
    <t>SAP</t>
  </si>
  <si>
    <t>Gerencia</t>
  </si>
  <si>
    <t>Talento Humano</t>
  </si>
  <si>
    <t>Quincenal</t>
  </si>
  <si>
    <t>Mensual</t>
  </si>
  <si>
    <t>Contabilidad</t>
  </si>
  <si>
    <t>Bimensual</t>
  </si>
  <si>
    <t>Bodega</t>
  </si>
  <si>
    <t>Semestral</t>
  </si>
  <si>
    <t>Anual</t>
  </si>
  <si>
    <t>Proyectos</t>
  </si>
  <si>
    <t>Operaciones Platano</t>
  </si>
  <si>
    <t>COMERCIO EXTERIOR</t>
  </si>
  <si>
    <t>ANALISTA COMEX</t>
  </si>
  <si>
    <t>Lizbeth Campoverde</t>
  </si>
  <si>
    <t xml:space="preserve">CORRECCIONES BLS </t>
  </si>
  <si>
    <t>Corregir la informacion final detallada en el BL junto con la cierre de contenedores semanal</t>
  </si>
  <si>
    <t>SOFTWARE</t>
  </si>
  <si>
    <t>PAGINAS WEB NAVIERAS ; FTL ; PC</t>
  </si>
  <si>
    <t>INGRESO PROFORMAS NAVIERAS</t>
  </si>
  <si>
    <t>De acuerdo con los plazos documentales de cada naviera, se ingresa a las paginas web de la navieras y se digita toda la informacion referente a cada embarque.</t>
  </si>
  <si>
    <t>PAGINAS NAVIERAS</t>
  </si>
  <si>
    <t>GENERACION DE FITOSANITARIO DE EXPORTACION</t>
  </si>
  <si>
    <t>Una vez obtenido todos los bls finales junto con la fecha de zarpe se procede a generar los certificados en el sistema guia de Agrocalidad.</t>
  </si>
  <si>
    <t>PAGINA WEB AGROCALIDAD</t>
  </si>
  <si>
    <t>GENERACION DE CERTIFICADO DE ORIGEN</t>
  </si>
  <si>
    <t>Una vez obtenido todos los bls finales junto con la fecha de zarpe se procede a generar los certificados  de Origen en el sistema VUE de la SENAE.</t>
  </si>
  <si>
    <t>ECUAPASS ; VUE</t>
  </si>
  <si>
    <t>REPORTE COMEX</t>
  </si>
  <si>
    <t>Ingresar DAE - BL en el FTL - Descargar y realizarlo el archivo en nuestra base de reporte semanal</t>
  </si>
  <si>
    <t>FTL ; PC</t>
  </si>
  <si>
    <t>TRACKING NAVIERO</t>
  </si>
  <si>
    <t>Culminada la semana de exportacion y realizado el COMEX se concluye con el seguimiento de todos los contenedores desde origen hasta destino final.</t>
  </si>
  <si>
    <t>PAGINAS WEB NAVIERAS</t>
  </si>
  <si>
    <t>INGRESO FACTURAS SAP TFE</t>
  </si>
  <si>
    <t>Una vez que contabilidad envie el detalle lo pendiente por ingresar diario se procede a ingresar las facturas corroborando que todo lo facturado sea correcto a lo que se esta exportando.</t>
  </si>
  <si>
    <t>GENERACION DAES</t>
  </si>
  <si>
    <t>Revisar la programacion y pedido semanal para la generacion de la DAES</t>
  </si>
  <si>
    <t>FTL ; SENAE ; PC</t>
  </si>
  <si>
    <t>REGULACION DE DAES</t>
  </si>
  <si>
    <t>Una vez culminada la semana de exportacion, realizado la factura y concluir con los cierres de planes de embarque se procede a ingresar la informacion final a declarar ante la SENAE.</t>
  </si>
  <si>
    <t>FTL ; SENAE ; PC ; SAP</t>
  </si>
  <si>
    <t>DIGITALIZACION DAES REGULARIZADAS</t>
  </si>
  <si>
    <t>Una vez regularizada la DAE se digitaliza adjuntando en un solo archivo la DAE regularizada, facturas, BLS y el mensaje del regularizado en el ECUAPASS.</t>
  </si>
  <si>
    <t>ONE DRIVE</t>
  </si>
  <si>
    <t>ECUAPASS</t>
  </si>
  <si>
    <t>GENERACION DE PLANES DE EMBARQUE PROVISIONAL PLATANOS ; BABY &amp; RED</t>
  </si>
  <si>
    <t>Realizar un detalle de toda la exportacion de platanos, baby, y red de acuerdo con lo programado.</t>
  </si>
  <si>
    <t>PAGINA WEB MAG ; PC ; FTL</t>
  </si>
  <si>
    <t>GENERACION DE PLANES DE EMBARQUE DEFINITIVOS PLATANOS ; BABY &amp; RED</t>
  </si>
  <si>
    <t>Una vez culminada la semana de exportacion, se solicita el detalle de liquidacion al Area Contable para la respectiva declaracion ante el MAG.</t>
  </si>
  <si>
    <t>INGRESO FACTURAS FLETES SAP MLC</t>
  </si>
  <si>
    <t>Una vez culminada la semana, se ingresa los fletes en el SAP MLC corroborando que sea el precio del flete pactado en acuerdos.</t>
  </si>
  <si>
    <t>DIGITALIZACION DE DOCUMENTOS DE EXPORTACION</t>
  </si>
  <si>
    <t>Una vez realizado fitos y CO, se firma y se sellan la documentacion para ser escaneada para su posterior envio al cliente final.</t>
  </si>
  <si>
    <t>SOFTWARE ; CORREO ELECTRONICO</t>
  </si>
  <si>
    <t xml:space="preserve">SENAE </t>
  </si>
  <si>
    <t>GENERACION DE AUCP</t>
  </si>
  <si>
    <t>De acuerdo con la programcion semanal de los pedidos, se generan documentos de contro previo AUCP para la generacion de DAES.</t>
  </si>
  <si>
    <t>SENAE</t>
  </si>
  <si>
    <t>GENERACION E INGRESO DE CARTAS DE TEMPERATURAS</t>
  </si>
  <si>
    <t>De acuerdo con los plazos documentales de cada naviera, se ingresa a las paginas web de la navieras o plantillas en EXCEL y se digita toda la informacion referente a las especificaciones de temperatura que requiera el producto.</t>
  </si>
  <si>
    <t>SOFTWARE ; EXCEL</t>
  </si>
  <si>
    <t>GENERACION DE  SWB LIBERACION CARGA</t>
  </si>
  <si>
    <t>Una vez los buques zarpado y la naviera confirmado su exportacion total de contenedores se procede a cancelar los valores a pagar por esa exportacion y solicitar a la naviera la liberacion y envio de BL SWB para la liberacion.</t>
  </si>
  <si>
    <t>PAGINAS WEB NAVIERAS  ; PC</t>
  </si>
  <si>
    <t>GENERACION GUIAS DHL</t>
  </si>
  <si>
    <t>Culminada toda la documentacion para su exportacion, se generar guias de DHL para el envio de la documentacion final al cliente.</t>
  </si>
  <si>
    <t>PAGINA WEB DHL ; PC</t>
  </si>
  <si>
    <t>CARGAR DOCUMENTACION FINAL BLS EN LA RED</t>
  </si>
  <si>
    <t>Una vez los buques zarpado y la naviera confirmado su exportacion total de contenedores se procede solicitar los bls finales despues del zarpe junto con su firma y fecha correcta de zarpe.</t>
  </si>
  <si>
    <t>CORREO ELECTRONICO ; ONE DRIVE</t>
  </si>
  <si>
    <t>PC</t>
  </si>
  <si>
    <t>GENERACION E INGRESO DE ISF</t>
  </si>
  <si>
    <t>Una vez confirmada la exportacion, de acuerdo con los plazos documentales se realiza la generacion de ISF en plantillas dictadas por la naviera en donde se ingresa toda la informacion referente al embarque. Se envia por correo al Notify.</t>
  </si>
  <si>
    <t>CORREO ELECTRONICO ; ONE DRIVE ; EXCEL</t>
  </si>
  <si>
    <t>REDUCCION DE CONTENEDORES DAES</t>
  </si>
  <si>
    <t>Una vez confirmada la cantidad de contenedores a exportar, se ingresa al ECUAPASS y se corrige la DAE junto con sus contenedores correctos a exportar por cada DAE.</t>
  </si>
  <si>
    <t>REVISION DE ESTADOS DE CUENTAS MLC FLETES</t>
  </si>
  <si>
    <t>Una vez las navieras envien los estados de cuenta y los bls fletados se procede a validar junto con lo ingresado y financiero.</t>
  </si>
  <si>
    <t>CORREO ELECTRONICO</t>
  </si>
  <si>
    <t>SALIDAS AUTORIZADAS</t>
  </si>
  <si>
    <t>Una vez los contenedores ingresen al puerto, se corrobora que hayan sido ingresado corrrectamente a su respectiva DAE y se comunica la SALIDA AUTORIZADA.</t>
  </si>
  <si>
    <t>SENAE ; PC</t>
  </si>
  <si>
    <t xml:space="preserve">Asistente de Comercio Exterior </t>
  </si>
  <si>
    <t xml:space="preserve">INGRESO DE PROFORMAS ( CMA - KING OCEAN - ONE  SEABOARD )  </t>
  </si>
  <si>
    <t>Se ingresa a las paginas web de la navieras asigandas y se coloca toda la informacion que van a llevar los contenedores de manera correcta , se ingresa las proformas dentro plazos documentales que cada naviera.</t>
  </si>
  <si>
    <t>SOFTWARE /  CORREO ELECTRONICO</t>
  </si>
  <si>
    <t>PAGINAS NAVIERAS / CORREO ELECTRONICO</t>
  </si>
  <si>
    <t xml:space="preserve">OK DE BLS FINALES NAVIERAS  ( CMA - KING OCEAN - ONE  SEABOARD ) </t>
  </si>
  <si>
    <t>Corregir la informacion que nos envia la naviera de los BLS finales, tomando la informacion de los cierres de contenedores semanales (FTL)</t>
  </si>
  <si>
    <t>ELABORACION DE PLANES DE EMBARQUES DEFINTIVOS      ( BANANOS )</t>
  </si>
  <si>
    <t>Se realiza un reporte de toda la exportacion de Banano para la respectiva declaracion final ante el MAG.</t>
  </si>
  <si>
    <t>SOFTWARE / EXCEL</t>
  </si>
  <si>
    <t>SISTEMA DE CONTROL BANANERO
UNIBANANO (MAG)</t>
  </si>
  <si>
    <t>CIERRE DE EXPORTACIONES                                                                    ( CMA -  KING OCEAN   ONE -  SEABOARD ) hasta 15 dias posterior al manifiesto de navieras asignadas.</t>
  </si>
  <si>
    <t>Se declara ante la SENAE la informacion final que se obtiene cuando la semana de exportacion culmina debe estar lista la informacion ,factura , Cierres de planes de embarque para poder declara la informacion correcta de lo que se exporto.</t>
  </si>
  <si>
    <t>SOFTWARE / EXCEL / CORREO ELECTRONICO</t>
  </si>
  <si>
    <t xml:space="preserve">SAP BUSINEES ONE / SENAE </t>
  </si>
  <si>
    <t xml:space="preserve">INGRESO DE FACTURAS (PROVEEDORES COMEX)  TSER </t>
  </si>
  <si>
    <t xml:space="preserve"> Cada inicio de semana llegan las facturas sean por Navieras - Depositos - Retiros - Inspeciones, confimamos que todas las facturas que nos lleguen esten facturadas con su razon social correcta y valores correctos. Esperamos el  detalle que envia el area de contabilidad para confirmar que todo se ingrese de manera correcta y dentro de los plazos del area financiera.</t>
  </si>
  <si>
    <t>SAP BUSINEES ONE</t>
  </si>
  <si>
    <t xml:space="preserve">APERTURAS DE DAES NAVIERAS ASIGNADAS </t>
  </si>
  <si>
    <t xml:space="preserve">Tomamos la informacion de los pedidos semanales y confirmamos con la programacion la cantidad de contendores que vamos a exportar esa semana para asi poder generar las DAES </t>
  </si>
  <si>
    <t>SENAE / ECUAPASS / VUE</t>
  </si>
  <si>
    <t>APERTURAS DE DOCUMENTO DE CONTROL PREVIO / DCP  ( CMA - KING OCEAN - ONE  SEABOARD )</t>
  </si>
  <si>
    <t>Revisamos la programacion semanal de los pedidos y confirmamos que se realizra, para asi genera el documento de control previo (DCP) para la generacion de DAES.</t>
  </si>
  <si>
    <t>ELABORACION DE ISF (Naviera USA )</t>
  </si>
  <si>
    <t>Cuando hayan concluido con las programaciones de cada naviera, esta informacion se envia por medio de correo al Notify, donde se ingresa toda la informacion referente al embarque de acuerdo con los plazos documentales se realiza la generacion de ISF en plantillas de Excel.</t>
  </si>
  <si>
    <t xml:space="preserve">CORREO ELECTRONICO </t>
  </si>
  <si>
    <t>INGRESOS EN EL SISTEMA DE VERIFICACION (VGM )</t>
  </si>
  <si>
    <t xml:space="preserve">Ingresamos la informacion en la pagina de la naviera ( Booking - Contenedor) donde colocamos el peso de cada contendor para asi confirmar que los embarque no presenten problemas en cuanto al peso de la nave. </t>
  </si>
  <si>
    <t xml:space="preserve">PAGINAS NAVIERAS </t>
  </si>
  <si>
    <t xml:space="preserve">DECLARACION DE CARTAR DE TEMPERATURA  NAVIERAS ASIGNADAS </t>
  </si>
  <si>
    <t xml:space="preserve">Se ingresa a las paginas web de la navieras o se realiza plantillas en Excel donde se coloca toda la informacion y las especificaciones de las temperatura que solicita cada cliente para cada producto.  </t>
  </si>
  <si>
    <t>ONE DRIVE / SOFTWARE / CORREO ELECTRONICO</t>
  </si>
  <si>
    <t>LIBERACION DE BLS SWB (Contenedores) POR PAGOS PENDIENTES
estados de cuenta</t>
  </si>
  <si>
    <t>Se solicita a la naviera liberacion por correo despues de cancelar los valores a pagar por las exportaciones y asi solicitar el envio de los BLS (SWB) despues que las naves zarparan y se exportaran todos los contenedores.</t>
  </si>
  <si>
    <t>DIGITALIZACIONES   ( CMA -  KING OCEAN   ONE -  SEABOARD )</t>
  </si>
  <si>
    <t>Una vez regularizada las DAES de las navieras asignadas se recopila la siguentes informacion: DAE regularizada, factura, BLS , capture del estado regularizada en el ECUAPASS , se realiza  1 PDF con esos 4 documentos y se los coloca en la red.</t>
  </si>
  <si>
    <t xml:space="preserve">ONE DRIVE / SOFTWARE </t>
  </si>
  <si>
    <t xml:space="preserve">SENAE / ECUAPASS / RED </t>
  </si>
  <si>
    <t>REDUCION DE DAES                                                                                    ( CMA -  KING OCEAN   ONE -  SEABOARD )</t>
  </si>
  <si>
    <t xml:space="preserve">Confirmamos la cantidad de contenedores que se exportaran de acuerdo a cada naviera , se ingresa al ECUAPASS y se corrige la DAE dejando las Daes con sus reduciones listas. </t>
  </si>
  <si>
    <t>SENAE / ECUAPASS</t>
  </si>
  <si>
    <t>SALIDAS AUTORIZADAS                                                                            ( CMA -  KING OCEAN   ONE -  SEABOARD )</t>
  </si>
  <si>
    <t>Una ves que todos los contenedores ingresen al puerto, se revisa y se confirma que hayan sido ingresado de manera corrrecta de acuerdo a su respectiva DAE y se comunica la Salida Autorizada por cada cliente de cada naviera.</t>
  </si>
  <si>
    <t>REGISTRO EN LA RED DE BLS DIFINITIVOS  ( CMA -  KING OCEAN   ONE -  SEABOARD )</t>
  </si>
  <si>
    <t>Se solicita a las navieras los BLS finales ( sellados - firmados - fechas de Zarpe Correcta ) y se los coloca en la red para revicion de los demas departamentos</t>
  </si>
  <si>
    <t>CORREO ELECTRONICO / ONE DRIVE</t>
  </si>
  <si>
    <t>DOCUMENTOS PARA INSPECCIONES ANTINARCOTICOS                     ( CMA - KING OCEAN - ONE  SEABOARD )</t>
  </si>
  <si>
    <t xml:space="preserve">Se envia los documentos solicitados por el terminal por correo al area de segurida , la informacion la enviamos por correo y esperamos la confirmacion de la culminacion de la inspeciones. </t>
  </si>
  <si>
    <t>RED / PAGINA DEL TERMINAL</t>
  </si>
  <si>
    <t xml:space="preserve">AFOROS INSTRUSIVOS ( DOCUMENTOS - SEGUIMIENTO )  NAVIERAS ASIGNADAS </t>
  </si>
  <si>
    <t>Se realiza la respectiva correcion a la Dae (Senae) y se procede con el envio de la documentacion  al area de seguridad, donde asistiran a la inspecion intrusiva el cual debemos estar pendientes y dar seguimiento a la dae hasta que esta misma cuente con salida autorizada.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</si>
</sst>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b/>
      <sz val="11"/>
      <color theme="0"/>
      <name val="Calibri"/>
      <family val="2"/>
    </font>
    <font>
      <sz val="11"/>
      <color theme="1"/>
      <name val="Calibri"/>
      <family val="2"/>
      <scheme val="minor"/>
    </font>
    <font>
      <b/>
      <sz val="10"/>
      <name val="Calibri"/>
      <family val="2"/>
      <scheme val="minor"/>
    </font>
    <font>
      <b/>
      <sz val="10"/>
      <color rgb="FF000000"/>
      <name val="Calibri"/>
      <family val="2"/>
      <scheme val="minor"/>
    </font>
    <font>
      <b/>
      <sz val="14"/>
      <color theme="1"/>
      <name val="Calibri"/>
      <family val="2"/>
      <scheme val="minor"/>
    </font>
    <font>
      <u/>
      <sz val="11"/>
      <color theme="10"/>
      <name val="Calibri"/>
      <family val="2"/>
      <scheme val="minor"/>
    </font>
    <font>
      <b/>
      <sz val="11"/>
      <color rgb="FFFF0000"/>
      <name val="Calibri"/>
      <family val="2"/>
      <scheme val="minor"/>
    </font>
    <font>
      <sz val="11"/>
      <name val="Calibri"/>
      <family val="2"/>
      <scheme val="minor"/>
    </font>
    <font>
      <sz val="9"/>
      <color theme="1"/>
      <name val="Calibri"/>
      <family val="2"/>
      <scheme val="minor"/>
    </font>
    <font>
      <u/>
      <sz val="9"/>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6" fillId="0" borderId="0"/>
    <xf numFmtId="9" fontId="6" fillId="0" borderId="0" applyFont="0" applyFill="0" applyBorder="0" applyAlignment="0" applyProtection="0"/>
    <xf numFmtId="0" fontId="10" fillId="0" borderId="0" applyNumberFormat="0" applyFill="0" applyBorder="0" applyAlignment="0" applyProtection="0"/>
  </cellStyleXfs>
  <cellXfs count="3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9" fontId="2" fillId="0" borderId="0" xfId="2" applyFont="1" applyAlignment="1">
      <alignment horizontal="center" vertical="center"/>
    </xf>
    <xf numFmtId="9" fontId="0" fillId="0" borderId="1" xfId="2" applyFont="1" applyBorder="1" applyAlignment="1">
      <alignment horizontal="center" vertical="center"/>
    </xf>
    <xf numFmtId="9" fontId="0" fillId="0" borderId="0" xfId="2" applyFont="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horizontal="center" vertical="center"/>
    </xf>
    <xf numFmtId="9" fontId="1" fillId="3" borderId="1" xfId="2" applyFont="1" applyFill="1" applyBorder="1" applyAlignment="1">
      <alignment horizontal="center" vertical="center"/>
    </xf>
    <xf numFmtId="0" fontId="7" fillId="2" borderId="1" xfId="1" applyFont="1" applyFill="1" applyBorder="1" applyAlignment="1">
      <alignment horizontal="center" vertical="center"/>
    </xf>
    <xf numFmtId="0" fontId="0" fillId="0" borderId="1" xfId="0" applyBorder="1" applyAlignment="1">
      <alignment horizontal="center" vertical="center" wrapText="1"/>
    </xf>
    <xf numFmtId="0" fontId="10" fillId="0" borderId="1" xfId="3" applyBorder="1" applyAlignment="1">
      <alignment horizontal="center" vertical="center" wrapText="1"/>
    </xf>
    <xf numFmtId="0" fontId="13" fillId="0" borderId="1" xfId="0" applyFont="1" applyBorder="1" applyAlignment="1">
      <alignment horizontal="center" vertical="center"/>
    </xf>
    <xf numFmtId="9" fontId="13" fillId="0" borderId="1" xfId="2" applyFont="1" applyBorder="1" applyAlignment="1">
      <alignment horizontal="center" vertical="center"/>
    </xf>
    <xf numFmtId="0" fontId="14" fillId="0" borderId="1" xfId="3" applyFont="1" applyBorder="1" applyAlignment="1">
      <alignment horizontal="center" vertical="center" wrapText="1"/>
    </xf>
    <xf numFmtId="0" fontId="14" fillId="0" borderId="1" xfId="3" applyFont="1" applyBorder="1" applyAlignment="1">
      <alignment horizontal="center" vertical="center"/>
    </xf>
    <xf numFmtId="0" fontId="13" fillId="0" borderId="1" xfId="0" applyFont="1" applyBorder="1" applyAlignment="1">
      <alignment horizontal="center" vertical="center" wrapText="1"/>
    </xf>
    <xf numFmtId="0" fontId="1" fillId="3" borderId="8" xfId="0" applyFont="1"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center" vertical="center" wrapText="1"/>
    </xf>
    <xf numFmtId="9" fontId="0" fillId="0" borderId="0" xfId="2" applyFont="1" applyBorder="1" applyAlignment="1">
      <alignment horizontal="center" vertical="center"/>
    </xf>
    <xf numFmtId="0" fontId="7" fillId="2" borderId="2" xfId="1" applyFont="1" applyFill="1" applyBorder="1" applyAlignment="1">
      <alignment horizontal="center" vertical="center"/>
    </xf>
    <xf numFmtId="0" fontId="7" fillId="2" borderId="3" xfId="1" applyFont="1" applyFill="1" applyBorder="1" applyAlignment="1">
      <alignment horizontal="center" vertical="center"/>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7" fillId="2" borderId="7" xfId="1" applyFont="1" applyFill="1" applyBorder="1" applyAlignment="1">
      <alignment horizontal="center" vertical="center"/>
    </xf>
    <xf numFmtId="0" fontId="9" fillId="2" borderId="1" xfId="1" applyFont="1" applyFill="1" applyBorder="1" applyAlignment="1">
      <alignment horizontal="center" vertical="center" wrapText="1"/>
    </xf>
    <xf numFmtId="0" fontId="8" fillId="2" borderId="1" xfId="1" applyFont="1" applyFill="1" applyBorder="1" applyAlignment="1">
      <alignment horizontal="center" vertical="center" wrapText="1"/>
    </xf>
  </cellXfs>
  <cellStyles count="4">
    <cellStyle name="Hipervínculo" xfId="3" builtinId="8"/>
    <cellStyle name="Normal" xfId="0" builtinId="0"/>
    <cellStyle name="Normal 3" xfId="1" xr:uid="{4A2B57F8-51E1-4775-9370-B3B21280ACAC}"/>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FB169018-BEC3-4286-8811-B0E1415DB1B7}"/>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20240" y="0"/>
          <a:ext cx="754380" cy="510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56E763DE-E65E-4182-A570-6FA60201EC8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20240" y="0"/>
          <a:ext cx="754380" cy="5105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C0E9A792-2D87-4DAA-AD6C-8454EA5F9D1C}"/>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20240" y="0"/>
          <a:ext cx="754380" cy="5105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AFC4BE6C-C590-44E7-91F5-7647973F489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20240" y="0"/>
          <a:ext cx="754380" cy="510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ervicios.mag.gob.ec/unibanan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aduana.gob.ec/" TargetMode="External"/><Relationship Id="rId13" Type="http://schemas.openxmlformats.org/officeDocument/2006/relationships/drawing" Target="../drawings/drawing2.xml"/><Relationship Id="rId3" Type="http://schemas.openxmlformats.org/officeDocument/2006/relationships/hyperlink" Target="https://www.aduana.gob.ec/" TargetMode="External"/><Relationship Id="rId7" Type="http://schemas.openxmlformats.org/officeDocument/2006/relationships/hyperlink" Target="https://guia.agrocalidad.gob.ec,https/www.aduana.gob.ec/" TargetMode="External"/><Relationship Id="rId12" Type="http://schemas.openxmlformats.org/officeDocument/2006/relationships/printerSettings" Target="../printerSettings/printerSettings2.bin"/><Relationship Id="rId2" Type="http://schemas.openxmlformats.org/officeDocument/2006/relationships/hyperlink" Target="https://www.hapag-lloyd/" TargetMode="External"/><Relationship Id="rId1" Type="http://schemas.openxmlformats.org/officeDocument/2006/relationships/hyperlink" Target="https://www.hapag-lloyd.com,mymsc.com,https/my.zim.com/https:/www.cma-cgm.com/" TargetMode="External"/><Relationship Id="rId6" Type="http://schemas.openxmlformats.org/officeDocument/2006/relationships/hyperlink" Target="https://guia.agrocalidad.gob.ec/" TargetMode="External"/><Relationship Id="rId11" Type="http://schemas.openxmlformats.org/officeDocument/2006/relationships/hyperlink" Target="https://www.aduana.gob.ec/RED%20&#8211;%20TROPICALFRUIT%20EXPORT%20&#8211;%20PROGRAMACION%20TFE%20/%20DOCUMENTOS" TargetMode="External"/><Relationship Id="rId5" Type="http://schemas.openxmlformats.org/officeDocument/2006/relationships/hyperlink" Target="https://dponline.dpworldposorja.ec/" TargetMode="External"/><Relationship Id="rId15" Type="http://schemas.openxmlformats.org/officeDocument/2006/relationships/comments" Target="../comments2.xml"/><Relationship Id="rId10" Type="http://schemas.openxmlformats.org/officeDocument/2006/relationships/hyperlink" Target="https://ftl.tropicalfruitexport.com/" TargetMode="External"/><Relationship Id="rId4" Type="http://schemas.openxmlformats.org/officeDocument/2006/relationships/hyperlink" Target="https://www.aduana.gob.ec/" TargetMode="External"/><Relationship Id="rId9" Type="http://schemas.openxmlformats.org/officeDocument/2006/relationships/hyperlink" Target="https://www.aduana.gob.ec/RED%20&#8211;%20TROPICALFRUIT%20EXPORT%20&#8211;%20PROGRAMACION%20TFE%20/%20DOCUMENTOS" TargetMode="External"/><Relationship Id="rId1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BCFD-89E6-4195-B6F9-820470B34756}">
  <dimension ref="A1:H34"/>
  <sheetViews>
    <sheetView showGridLines="0" workbookViewId="0">
      <pane ySplit="11" topLeftCell="A13" activePane="bottomLeft" state="frozen"/>
      <selection pane="bottomLeft" activeCell="C17" sqref="C17"/>
    </sheetView>
  </sheetViews>
  <sheetFormatPr defaultColWidth="11.42578125" defaultRowHeight="14.45"/>
  <cols>
    <col min="1" max="1" width="9.7109375" style="1" bestFit="1" customWidth="1"/>
    <col min="2" max="2" width="46.5703125" style="1" customWidth="1"/>
    <col min="3" max="3" width="86.85546875" style="1" bestFit="1" customWidth="1"/>
    <col min="4" max="4" width="11.5703125" style="1" bestFit="1" customWidth="1"/>
    <col min="5" max="5" width="9.85546875" style="6" bestFit="1" customWidth="1"/>
    <col min="6" max="6" width="18" style="1" bestFit="1" customWidth="1"/>
    <col min="7" max="7" width="22.5703125" style="1" customWidth="1"/>
    <col min="8" max="8" width="50.7109375" style="1" customWidth="1"/>
  </cols>
  <sheetData>
    <row r="1" spans="1:8" ht="14.45" customHeight="1">
      <c r="A1" s="22"/>
      <c r="B1" s="23"/>
      <c r="C1" s="28" t="s">
        <v>0</v>
      </c>
      <c r="D1" s="28"/>
      <c r="E1" s="28"/>
      <c r="F1" s="28"/>
      <c r="G1" s="28"/>
      <c r="H1" s="10" t="s">
        <v>1</v>
      </c>
    </row>
    <row r="2" spans="1:8" ht="14.45" customHeight="1">
      <c r="A2" s="24"/>
      <c r="B2" s="25"/>
      <c r="C2" s="28"/>
      <c r="D2" s="28"/>
      <c r="E2" s="28"/>
      <c r="F2" s="28"/>
      <c r="G2" s="28"/>
      <c r="H2" s="10" t="s">
        <v>2</v>
      </c>
    </row>
    <row r="3" spans="1:8" ht="14.45" customHeight="1">
      <c r="A3" s="26"/>
      <c r="B3" s="27"/>
      <c r="C3" s="28"/>
      <c r="D3" s="28"/>
      <c r="E3" s="28"/>
      <c r="F3" s="28"/>
      <c r="G3" s="28"/>
      <c r="H3" s="10" t="s">
        <v>3</v>
      </c>
    </row>
    <row r="4" spans="1:8" ht="14.45" customHeight="1">
      <c r="A4" s="29" t="s">
        <v>4</v>
      </c>
      <c r="B4" s="29"/>
      <c r="C4" s="29" t="s">
        <v>5</v>
      </c>
      <c r="D4" s="29"/>
      <c r="E4" s="29"/>
      <c r="F4" s="29"/>
      <c r="G4" s="29"/>
      <c r="H4" s="10" t="s">
        <v>6</v>
      </c>
    </row>
    <row r="5" spans="1:8" ht="14.45" customHeight="1">
      <c r="A5" s="29" t="s">
        <v>7</v>
      </c>
      <c r="B5" s="29"/>
      <c r="C5" s="29"/>
      <c r="D5" s="29"/>
      <c r="E5" s="29"/>
      <c r="F5" s="29"/>
      <c r="G5" s="29"/>
      <c r="H5" s="10" t="s">
        <v>8</v>
      </c>
    </row>
    <row r="7" spans="1:8">
      <c r="A7" s="7" t="s">
        <v>9</v>
      </c>
      <c r="B7" s="2" t="s">
        <v>10</v>
      </c>
      <c r="C7" s="3"/>
      <c r="D7" s="3"/>
      <c r="E7" s="4"/>
      <c r="F7" s="3"/>
      <c r="G7" s="3"/>
      <c r="H7" s="3"/>
    </row>
    <row r="8" spans="1:8">
      <c r="A8" s="7" t="s">
        <v>11</v>
      </c>
      <c r="B8" s="2" t="s">
        <v>12</v>
      </c>
      <c r="C8" s="3"/>
      <c r="D8" s="3"/>
      <c r="E8" s="4"/>
      <c r="F8" s="3"/>
      <c r="G8" s="3"/>
      <c r="H8" s="3"/>
    </row>
    <row r="9" spans="1:8">
      <c r="A9" s="8" t="s">
        <v>13</v>
      </c>
      <c r="B9" s="2" t="s">
        <v>14</v>
      </c>
      <c r="C9" s="3"/>
      <c r="D9" s="3"/>
      <c r="E9" s="4"/>
      <c r="F9" s="3"/>
      <c r="G9" s="3"/>
      <c r="H9" s="3"/>
    </row>
    <row r="10" spans="1:8" ht="9.6" customHeight="1">
      <c r="A10" s="3"/>
      <c r="B10" s="3"/>
      <c r="C10" s="3"/>
      <c r="D10" s="3"/>
      <c r="E10" s="4"/>
      <c r="F10" s="3"/>
      <c r="G10" s="3"/>
      <c r="H10" s="3"/>
    </row>
    <row r="11" spans="1:8" s="1" customFormat="1" ht="27.6" customHeight="1">
      <c r="A11" s="7" t="s">
        <v>15</v>
      </c>
      <c r="B11" s="7" t="s">
        <v>16</v>
      </c>
      <c r="C11" s="7" t="s">
        <v>17</v>
      </c>
      <c r="D11" s="7" t="s">
        <v>18</v>
      </c>
      <c r="E11" s="9" t="s">
        <v>19</v>
      </c>
      <c r="F11" s="7" t="s">
        <v>20</v>
      </c>
      <c r="G11" s="7" t="s">
        <v>21</v>
      </c>
      <c r="H11" s="7" t="s">
        <v>22</v>
      </c>
    </row>
    <row r="12" spans="1:8" ht="63" customHeight="1">
      <c r="A12" s="2">
        <v>1</v>
      </c>
      <c r="B12" s="11" t="s">
        <v>23</v>
      </c>
      <c r="C12" s="11" t="s">
        <v>24</v>
      </c>
      <c r="D12" s="2" t="s">
        <v>25</v>
      </c>
      <c r="E12" s="5">
        <v>0.13</v>
      </c>
      <c r="F12" s="2" t="s">
        <v>26</v>
      </c>
      <c r="G12" s="11" t="s">
        <v>27</v>
      </c>
      <c r="H12" s="2" t="s">
        <v>28</v>
      </c>
    </row>
    <row r="13" spans="1:8" ht="75" customHeight="1">
      <c r="A13" s="2">
        <v>2</v>
      </c>
      <c r="B13" s="11" t="s">
        <v>29</v>
      </c>
      <c r="C13" s="11" t="s">
        <v>30</v>
      </c>
      <c r="D13" s="2" t="s">
        <v>25</v>
      </c>
      <c r="E13" s="5">
        <v>0.09</v>
      </c>
      <c r="F13" s="2" t="s">
        <v>31</v>
      </c>
      <c r="G13" s="11" t="s">
        <v>27</v>
      </c>
      <c r="H13" s="2" t="s">
        <v>28</v>
      </c>
    </row>
    <row r="14" spans="1:8" ht="55.9" customHeight="1">
      <c r="A14" s="2">
        <v>3</v>
      </c>
      <c r="B14" s="11" t="s">
        <v>32</v>
      </c>
      <c r="C14" s="11" t="s">
        <v>33</v>
      </c>
      <c r="D14" s="2" t="s">
        <v>34</v>
      </c>
      <c r="E14" s="5">
        <v>0.08</v>
      </c>
      <c r="F14" s="2" t="s">
        <v>26</v>
      </c>
      <c r="G14" s="11" t="s">
        <v>35</v>
      </c>
      <c r="H14" s="12" t="s">
        <v>36</v>
      </c>
    </row>
    <row r="15" spans="1:8" ht="57.6">
      <c r="A15" s="2">
        <v>4</v>
      </c>
      <c r="B15" s="11" t="s">
        <v>37</v>
      </c>
      <c r="C15" s="11" t="s">
        <v>38</v>
      </c>
      <c r="D15" s="2" t="s">
        <v>34</v>
      </c>
      <c r="E15" s="5">
        <v>7.0000000000000007E-2</v>
      </c>
      <c r="F15" s="2" t="s">
        <v>39</v>
      </c>
      <c r="G15" s="11" t="s">
        <v>40</v>
      </c>
      <c r="H15" s="11" t="s">
        <v>41</v>
      </c>
    </row>
    <row r="16" spans="1:8" ht="42.6" customHeight="1">
      <c r="A16" s="2">
        <v>5</v>
      </c>
      <c r="B16" s="11" t="s">
        <v>42</v>
      </c>
      <c r="C16" s="11" t="s">
        <v>43</v>
      </c>
      <c r="D16" s="2" t="s">
        <v>34</v>
      </c>
      <c r="E16" s="5">
        <v>7.0000000000000007E-2</v>
      </c>
      <c r="F16" s="2" t="s">
        <v>39</v>
      </c>
      <c r="G16" s="11" t="s">
        <v>40</v>
      </c>
      <c r="H16" s="11" t="s">
        <v>44</v>
      </c>
    </row>
    <row r="17" spans="1:8" ht="61.9" customHeight="1">
      <c r="A17" s="2">
        <v>6</v>
      </c>
      <c r="B17" s="11" t="s">
        <v>45</v>
      </c>
      <c r="C17" s="11" t="s">
        <v>46</v>
      </c>
      <c r="D17" s="2" t="s">
        <v>34</v>
      </c>
      <c r="E17" s="5">
        <v>0.06</v>
      </c>
      <c r="F17" s="2" t="s">
        <v>47</v>
      </c>
      <c r="G17" s="2" t="s">
        <v>40</v>
      </c>
      <c r="H17" s="11" t="s">
        <v>48</v>
      </c>
    </row>
    <row r="18" spans="1:8" ht="27.6" customHeight="1">
      <c r="A18" s="2">
        <v>7</v>
      </c>
      <c r="B18" s="11" t="s">
        <v>49</v>
      </c>
      <c r="C18" s="11" t="s">
        <v>50</v>
      </c>
      <c r="D18" s="2" t="s">
        <v>34</v>
      </c>
      <c r="E18" s="5">
        <v>0.06</v>
      </c>
      <c r="F18" s="2" t="s">
        <v>26</v>
      </c>
      <c r="G18" s="2" t="s">
        <v>40</v>
      </c>
      <c r="H18" s="11" t="s">
        <v>51</v>
      </c>
    </row>
    <row r="19" spans="1:8" ht="72">
      <c r="A19" s="2">
        <v>8</v>
      </c>
      <c r="B19" s="11" t="s">
        <v>52</v>
      </c>
      <c r="C19" s="11" t="s">
        <v>53</v>
      </c>
      <c r="D19" s="2" t="s">
        <v>25</v>
      </c>
      <c r="E19" s="5">
        <v>0.05</v>
      </c>
      <c r="F19" s="2" t="s">
        <v>31</v>
      </c>
      <c r="G19" s="11" t="s">
        <v>54</v>
      </c>
      <c r="H19" s="2" t="s">
        <v>55</v>
      </c>
    </row>
    <row r="20" spans="1:8" ht="43.15">
      <c r="A20" s="2">
        <v>9</v>
      </c>
      <c r="B20" s="11" t="s">
        <v>56</v>
      </c>
      <c r="C20" s="11" t="s">
        <v>57</v>
      </c>
      <c r="D20" s="2" t="s">
        <v>25</v>
      </c>
      <c r="E20" s="5">
        <v>0.05</v>
      </c>
      <c r="F20" s="2" t="s">
        <v>31</v>
      </c>
      <c r="G20" s="11" t="s">
        <v>58</v>
      </c>
      <c r="H20" s="11" t="s">
        <v>59</v>
      </c>
    </row>
    <row r="21" spans="1:8" ht="43.15">
      <c r="A21" s="2">
        <v>10</v>
      </c>
      <c r="B21" s="11" t="s">
        <v>60</v>
      </c>
      <c r="C21" s="11" t="s">
        <v>61</v>
      </c>
      <c r="D21" s="2" t="s">
        <v>25</v>
      </c>
      <c r="E21" s="5">
        <v>0.05</v>
      </c>
      <c r="F21" s="2" t="s">
        <v>26</v>
      </c>
      <c r="G21" s="11" t="s">
        <v>27</v>
      </c>
      <c r="H21" s="11" t="s">
        <v>62</v>
      </c>
    </row>
    <row r="22" spans="1:8" ht="27.6" customHeight="1">
      <c r="A22" s="2">
        <v>11</v>
      </c>
      <c r="B22" s="11" t="s">
        <v>63</v>
      </c>
      <c r="C22" s="11" t="s">
        <v>64</v>
      </c>
      <c r="D22" s="2" t="s">
        <v>34</v>
      </c>
      <c r="E22" s="5">
        <v>0.05</v>
      </c>
      <c r="F22" s="2" t="s">
        <v>65</v>
      </c>
      <c r="G22" s="2" t="s">
        <v>40</v>
      </c>
      <c r="H22" s="11" t="s">
        <v>66</v>
      </c>
    </row>
    <row r="23" spans="1:8" ht="27.6" customHeight="1">
      <c r="A23" s="2">
        <v>12</v>
      </c>
      <c r="B23" s="11" t="s">
        <v>67</v>
      </c>
      <c r="C23" s="11" t="s">
        <v>68</v>
      </c>
      <c r="D23" s="2" t="s">
        <v>34</v>
      </c>
      <c r="E23" s="5">
        <v>0.05</v>
      </c>
      <c r="F23" s="2" t="s">
        <v>69</v>
      </c>
      <c r="G23" s="2" t="s">
        <v>40</v>
      </c>
      <c r="H23" s="11" t="s">
        <v>70</v>
      </c>
    </row>
    <row r="24" spans="1:8" ht="43.15">
      <c r="A24" s="2">
        <v>13</v>
      </c>
      <c r="B24" s="11" t="s">
        <v>71</v>
      </c>
      <c r="C24" s="11" t="s">
        <v>72</v>
      </c>
      <c r="D24" s="2" t="s">
        <v>34</v>
      </c>
      <c r="E24" s="5">
        <v>0.04</v>
      </c>
      <c r="F24" s="2" t="s">
        <v>47</v>
      </c>
      <c r="G24" s="11" t="s">
        <v>73</v>
      </c>
      <c r="H24" s="2" t="s">
        <v>28</v>
      </c>
    </row>
    <row r="25" spans="1:8" ht="57.6">
      <c r="A25" s="2">
        <v>14</v>
      </c>
      <c r="B25" s="11" t="s">
        <v>74</v>
      </c>
      <c r="C25" s="11" t="s">
        <v>75</v>
      </c>
      <c r="D25" s="2" t="s">
        <v>34</v>
      </c>
      <c r="E25" s="5">
        <v>0.04</v>
      </c>
      <c r="F25" s="2" t="s">
        <v>76</v>
      </c>
      <c r="G25" s="11" t="s">
        <v>77</v>
      </c>
      <c r="H25" s="11" t="s">
        <v>28</v>
      </c>
    </row>
    <row r="26" spans="1:8" ht="30.6" customHeight="1">
      <c r="A26" s="2">
        <v>15</v>
      </c>
      <c r="B26" s="11" t="s">
        <v>78</v>
      </c>
      <c r="C26" s="11" t="s">
        <v>79</v>
      </c>
      <c r="D26" s="2" t="s">
        <v>34</v>
      </c>
      <c r="E26" s="5">
        <v>0.02</v>
      </c>
      <c r="F26" s="2" t="s">
        <v>47</v>
      </c>
      <c r="G26" s="2" t="s">
        <v>80</v>
      </c>
      <c r="H26" s="11" t="s">
        <v>81</v>
      </c>
    </row>
    <row r="27" spans="1:8" ht="29.45" customHeight="1">
      <c r="A27" s="2">
        <v>16</v>
      </c>
      <c r="B27" s="2" t="s">
        <v>82</v>
      </c>
      <c r="C27" s="11" t="s">
        <v>83</v>
      </c>
      <c r="D27" s="2" t="s">
        <v>34</v>
      </c>
      <c r="E27" s="5">
        <v>0.02</v>
      </c>
      <c r="F27" s="2" t="s">
        <v>65</v>
      </c>
      <c r="G27" s="2" t="s">
        <v>40</v>
      </c>
      <c r="H27" s="11" t="s">
        <v>84</v>
      </c>
    </row>
    <row r="28" spans="1:8" ht="27.6" customHeight="1">
      <c r="A28" s="2">
        <v>17</v>
      </c>
      <c r="B28" s="2" t="s">
        <v>85</v>
      </c>
      <c r="C28" s="11" t="s">
        <v>86</v>
      </c>
      <c r="D28" s="2" t="s">
        <v>34</v>
      </c>
      <c r="E28" s="5">
        <v>0.02</v>
      </c>
      <c r="F28" s="2" t="s">
        <v>65</v>
      </c>
      <c r="G28" s="2" t="s">
        <v>40</v>
      </c>
      <c r="H28" s="11" t="s">
        <v>84</v>
      </c>
    </row>
    <row r="29" spans="1:8" ht="27.6" customHeight="1">
      <c r="A29" s="2">
        <v>18</v>
      </c>
      <c r="B29" s="11" t="s">
        <v>87</v>
      </c>
      <c r="C29" s="11" t="s">
        <v>88</v>
      </c>
      <c r="D29" s="2" t="s">
        <v>34</v>
      </c>
      <c r="E29" s="5">
        <v>0.01</v>
      </c>
      <c r="F29" s="2" t="s">
        <v>65</v>
      </c>
      <c r="G29" s="2" t="s">
        <v>40</v>
      </c>
      <c r="H29" s="11" t="s">
        <v>84</v>
      </c>
    </row>
    <row r="30" spans="1:8" ht="28.9">
      <c r="A30" s="2">
        <v>19</v>
      </c>
      <c r="B30" s="11" t="s">
        <v>89</v>
      </c>
      <c r="C30" s="2" t="s">
        <v>90</v>
      </c>
      <c r="D30" s="2" t="s">
        <v>34</v>
      </c>
      <c r="E30" s="5">
        <v>0.02</v>
      </c>
      <c r="F30" s="2" t="s">
        <v>69</v>
      </c>
      <c r="G30" s="2" t="s">
        <v>91</v>
      </c>
      <c r="H30" s="11" t="s">
        <v>92</v>
      </c>
    </row>
    <row r="31" spans="1:8" ht="28.9">
      <c r="A31" s="2">
        <v>20</v>
      </c>
      <c r="B31" s="11" t="s">
        <v>93</v>
      </c>
      <c r="C31" s="11" t="s">
        <v>94</v>
      </c>
      <c r="D31" s="2" t="s">
        <v>34</v>
      </c>
      <c r="E31" s="5">
        <v>0.02</v>
      </c>
      <c r="F31" s="2" t="s">
        <v>65</v>
      </c>
      <c r="G31" s="2" t="s">
        <v>40</v>
      </c>
      <c r="H31" s="11" t="s">
        <v>95</v>
      </c>
    </row>
    <row r="32" spans="1:8">
      <c r="B32" s="20"/>
      <c r="E32" s="21">
        <f>SUM(E12:E31)</f>
        <v>1.0000000000000004</v>
      </c>
      <c r="H32" s="20"/>
    </row>
    <row r="33" spans="2:8">
      <c r="B33" s="20"/>
      <c r="E33" s="21"/>
      <c r="H33" s="20"/>
    </row>
    <row r="34" spans="2:8">
      <c r="B34" s="1" t="s">
        <v>96</v>
      </c>
      <c r="C34" s="1" t="s">
        <v>97</v>
      </c>
      <c r="D34" s="1" t="s">
        <v>98</v>
      </c>
      <c r="H34" s="1" t="s">
        <v>99</v>
      </c>
    </row>
  </sheetData>
  <sortState xmlns:xlrd2="http://schemas.microsoft.com/office/spreadsheetml/2017/richdata2" ref="A12:H30">
    <sortCondition descending="1" ref="E12:E30"/>
  </sortState>
  <mergeCells count="5">
    <mergeCell ref="A1:B3"/>
    <mergeCell ref="C1:G3"/>
    <mergeCell ref="A4:B4"/>
    <mergeCell ref="C4:G5"/>
    <mergeCell ref="A5:B5"/>
  </mergeCells>
  <hyperlinks>
    <hyperlink ref="H14" r:id="rId1" display="https://servicios.mag.gob.ec/unibanano/ " xr:uid="{DD1F6281-0FF4-426B-982F-7BDC0AFA8D9C}"/>
  </hyperlinks>
  <pageMargins left="0.7" right="0.7" top="0.75" bottom="0.75" header="0.3" footer="0.3"/>
  <pageSetup paperSize="9" orientation="portrait" verticalDpi="0" r:id="rId2"/>
  <drawing r:id="rId3"/>
  <legacyDrawing r:id="rId4"/>
  <extLst>
    <ext xmlns:x14="http://schemas.microsoft.com/office/spreadsheetml/2009/9/main" uri="{CCE6A557-97BC-4b89-ADB6-D9C93CAAB3DF}">
      <x14:dataValidations xmlns:xm="http://schemas.microsoft.com/office/excel/2006/main" count="2">
        <x14:dataValidation type="list" allowBlank="1" showInputMessage="1" showErrorMessage="1" xr:uid="{2B938EAC-A902-42AB-A7F2-71BC24AC8845}">
          <x14:formula1>
            <xm:f>Hoja1!$A$1:$A$8</xm:f>
          </x14:formula1>
          <xm:sqref>D12:D29</xm:sqref>
        </x14:dataValidation>
        <x14:dataValidation type="list" allowBlank="1" showInputMessage="1" showErrorMessage="1" xr:uid="{DE536953-D357-44F9-B924-7F36705C7F35}">
          <x14:formula1>
            <xm:f>Hoja1!$B$1:$B$14</xm:f>
          </x14:formula1>
          <xm:sqref>F12:F29 F31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9566-1C6C-4666-8FCB-713829E984BC}">
  <dimension ref="A1:H31"/>
  <sheetViews>
    <sheetView showGridLines="0" topLeftCell="A8" workbookViewId="0">
      <pane ySplit="4" topLeftCell="A12" activePane="bottomLeft" state="frozen"/>
      <selection pane="bottomLeft" activeCell="C12" sqref="C12:C27"/>
      <selection activeCell="A8" sqref="A8"/>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4.85546875" style="1" bestFit="1" customWidth="1"/>
    <col min="7" max="7" width="36.28515625" style="1" bestFit="1" customWidth="1"/>
    <col min="8" max="8" width="44" style="1" customWidth="1"/>
  </cols>
  <sheetData>
    <row r="1" spans="1:8" ht="14.45" customHeight="1">
      <c r="A1" s="22"/>
      <c r="B1" s="23"/>
      <c r="C1" s="28" t="s">
        <v>0</v>
      </c>
      <c r="D1" s="28"/>
      <c r="E1" s="28"/>
      <c r="F1" s="28"/>
      <c r="G1" s="28"/>
      <c r="H1" s="10" t="s">
        <v>1</v>
      </c>
    </row>
    <row r="2" spans="1:8" ht="14.45" customHeight="1">
      <c r="A2" s="24"/>
      <c r="B2" s="25"/>
      <c r="C2" s="28"/>
      <c r="D2" s="28"/>
      <c r="E2" s="28"/>
      <c r="F2" s="28"/>
      <c r="G2" s="28"/>
      <c r="H2" s="10" t="s">
        <v>2</v>
      </c>
    </row>
    <row r="3" spans="1:8" ht="14.45" customHeight="1">
      <c r="A3" s="26"/>
      <c r="B3" s="27"/>
      <c r="C3" s="28"/>
      <c r="D3" s="28"/>
      <c r="E3" s="28"/>
      <c r="F3" s="28"/>
      <c r="G3" s="28"/>
      <c r="H3" s="10" t="s">
        <v>3</v>
      </c>
    </row>
    <row r="4" spans="1:8" ht="14.45" customHeight="1">
      <c r="A4" s="29" t="s">
        <v>4</v>
      </c>
      <c r="B4" s="29"/>
      <c r="C4" s="29" t="s">
        <v>5</v>
      </c>
      <c r="D4" s="29"/>
      <c r="E4" s="29"/>
      <c r="F4" s="29"/>
      <c r="G4" s="29"/>
      <c r="H4" s="10" t="s">
        <v>6</v>
      </c>
    </row>
    <row r="5" spans="1:8" ht="14.45" customHeight="1">
      <c r="A5" s="29" t="s">
        <v>7</v>
      </c>
      <c r="B5" s="29"/>
      <c r="C5" s="29"/>
      <c r="D5" s="29"/>
      <c r="E5" s="29"/>
      <c r="F5" s="29"/>
      <c r="G5" s="29"/>
      <c r="H5" s="10" t="s">
        <v>8</v>
      </c>
    </row>
    <row r="7" spans="1:8">
      <c r="A7" s="18" t="s">
        <v>9</v>
      </c>
      <c r="B7" s="2" t="s">
        <v>10</v>
      </c>
      <c r="C7" s="3"/>
      <c r="D7" s="3"/>
      <c r="E7" s="4"/>
      <c r="F7" s="3"/>
      <c r="G7" s="3"/>
      <c r="H7" s="3"/>
    </row>
    <row r="8" spans="1:8">
      <c r="A8" s="18" t="s">
        <v>11</v>
      </c>
      <c r="B8" s="2" t="s">
        <v>100</v>
      </c>
      <c r="C8" s="3"/>
      <c r="D8" s="3"/>
      <c r="E8" s="4"/>
      <c r="F8" s="3"/>
      <c r="G8" s="3"/>
      <c r="H8" s="3"/>
    </row>
    <row r="9" spans="1:8">
      <c r="A9" s="8" t="s">
        <v>13</v>
      </c>
      <c r="B9" s="2" t="s">
        <v>12</v>
      </c>
      <c r="C9" s="3"/>
      <c r="D9" s="3"/>
      <c r="E9" s="4"/>
      <c r="F9" s="3"/>
      <c r="G9" s="3"/>
      <c r="H9" s="3"/>
    </row>
    <row r="10" spans="1:8" ht="9.6" customHeight="1">
      <c r="A10" s="3"/>
      <c r="B10" s="3"/>
      <c r="C10" s="3"/>
      <c r="D10" s="3"/>
      <c r="E10" s="4"/>
      <c r="F10" s="3"/>
      <c r="G10" s="3"/>
      <c r="H10" s="3"/>
    </row>
    <row r="11" spans="1:8" s="1" customFormat="1" ht="27.6" customHeight="1">
      <c r="A11" s="7" t="s">
        <v>15</v>
      </c>
      <c r="B11" s="7" t="s">
        <v>16</v>
      </c>
      <c r="C11" s="7" t="s">
        <v>17</v>
      </c>
      <c r="D11" s="7" t="s">
        <v>18</v>
      </c>
      <c r="E11" s="9" t="s">
        <v>19</v>
      </c>
      <c r="F11" s="7" t="s">
        <v>20</v>
      </c>
      <c r="G11" s="7" t="s">
        <v>21</v>
      </c>
      <c r="H11" s="7" t="s">
        <v>22</v>
      </c>
    </row>
    <row r="12" spans="1:8" ht="27.6" customHeight="1">
      <c r="A12" s="13">
        <v>1</v>
      </c>
      <c r="B12" s="17" t="s">
        <v>101</v>
      </c>
      <c r="C12" s="17">
        <v>0</v>
      </c>
      <c r="D12" s="13" t="s">
        <v>34</v>
      </c>
      <c r="E12" s="14">
        <v>0.12</v>
      </c>
      <c r="F12" s="13" t="s">
        <v>26</v>
      </c>
      <c r="G12" s="13" t="s">
        <v>102</v>
      </c>
      <c r="H12" s="15" t="s">
        <v>103</v>
      </c>
    </row>
    <row r="13" spans="1:8" ht="27.6" customHeight="1">
      <c r="A13" s="13">
        <v>2</v>
      </c>
      <c r="B13" s="17" t="s">
        <v>104</v>
      </c>
      <c r="C13" s="17" t="s">
        <v>105</v>
      </c>
      <c r="D13" s="13" t="s">
        <v>34</v>
      </c>
      <c r="E13" s="14">
        <v>0.12</v>
      </c>
      <c r="F13" s="13" t="s">
        <v>65</v>
      </c>
      <c r="G13" s="13" t="s">
        <v>106</v>
      </c>
      <c r="H13" s="16" t="s">
        <v>107</v>
      </c>
    </row>
    <row r="14" spans="1:8" ht="48" customHeight="1">
      <c r="A14" s="13">
        <v>3</v>
      </c>
      <c r="B14" s="17" t="s">
        <v>108</v>
      </c>
      <c r="C14" s="17" t="s">
        <v>109</v>
      </c>
      <c r="D14" s="13" t="s">
        <v>34</v>
      </c>
      <c r="E14" s="14">
        <v>0.12</v>
      </c>
      <c r="F14" s="13" t="s">
        <v>65</v>
      </c>
      <c r="G14" s="13" t="s">
        <v>106</v>
      </c>
      <c r="H14" s="15" t="s">
        <v>110</v>
      </c>
    </row>
    <row r="15" spans="1:8" ht="27.6" customHeight="1">
      <c r="A15" s="13">
        <v>4</v>
      </c>
      <c r="B15" s="17" t="s">
        <v>111</v>
      </c>
      <c r="C15" s="17" t="s">
        <v>112</v>
      </c>
      <c r="D15" s="13" t="s">
        <v>25</v>
      </c>
      <c r="E15" s="14">
        <v>0.1</v>
      </c>
      <c r="F15" s="13" t="s">
        <v>26</v>
      </c>
      <c r="G15" s="13" t="s">
        <v>113</v>
      </c>
      <c r="H15" s="16" t="s">
        <v>114</v>
      </c>
    </row>
    <row r="16" spans="1:8" ht="45" customHeight="1">
      <c r="A16" s="13">
        <v>5</v>
      </c>
      <c r="B16" s="17" t="s">
        <v>115</v>
      </c>
      <c r="C16" s="17" t="s">
        <v>116</v>
      </c>
      <c r="D16" s="13" t="s">
        <v>34</v>
      </c>
      <c r="E16" s="14">
        <v>0.1</v>
      </c>
      <c r="F16" s="13" t="s">
        <v>65</v>
      </c>
      <c r="G16" s="13" t="s">
        <v>117</v>
      </c>
      <c r="H16" s="16" t="s">
        <v>118</v>
      </c>
    </row>
    <row r="17" spans="1:8" ht="27.6" customHeight="1">
      <c r="A17" s="13">
        <v>6</v>
      </c>
      <c r="B17" s="17" t="s">
        <v>119</v>
      </c>
      <c r="C17" s="17" t="s">
        <v>120</v>
      </c>
      <c r="D17" s="13" t="s">
        <v>34</v>
      </c>
      <c r="E17" s="14">
        <v>7.0000000000000007E-2</v>
      </c>
      <c r="F17" s="13" t="s">
        <v>26</v>
      </c>
      <c r="G17" s="13" t="s">
        <v>121</v>
      </c>
      <c r="H17" s="16" t="s">
        <v>122</v>
      </c>
    </row>
    <row r="18" spans="1:8" ht="27.6" customHeight="1">
      <c r="A18" s="13">
        <v>7</v>
      </c>
      <c r="B18" s="17" t="s">
        <v>123</v>
      </c>
      <c r="C18" s="17" t="s">
        <v>124</v>
      </c>
      <c r="D18" s="13" t="s">
        <v>34</v>
      </c>
      <c r="E18" s="14">
        <v>0.05</v>
      </c>
      <c r="F18" s="13" t="s">
        <v>31</v>
      </c>
      <c r="G18" s="13" t="s">
        <v>125</v>
      </c>
      <c r="H18" s="17" t="s">
        <v>126</v>
      </c>
    </row>
    <row r="19" spans="1:8" ht="27.6" customHeight="1">
      <c r="A19" s="13">
        <v>8</v>
      </c>
      <c r="B19" s="17" t="s">
        <v>127</v>
      </c>
      <c r="C19" s="17" t="s">
        <v>128</v>
      </c>
      <c r="D19" s="13" t="s">
        <v>34</v>
      </c>
      <c r="E19" s="14">
        <v>0.05</v>
      </c>
      <c r="F19" s="13" t="s">
        <v>129</v>
      </c>
      <c r="G19" s="13" t="s">
        <v>130</v>
      </c>
      <c r="H19" s="17" t="s">
        <v>126</v>
      </c>
    </row>
    <row r="20" spans="1:8" ht="27.6" customHeight="1">
      <c r="A20" s="13">
        <v>9</v>
      </c>
      <c r="B20" s="17" t="s">
        <v>131</v>
      </c>
      <c r="C20" s="17" t="s">
        <v>132</v>
      </c>
      <c r="D20" s="13" t="s">
        <v>34</v>
      </c>
      <c r="E20" s="14">
        <v>0.05</v>
      </c>
      <c r="F20" s="13" t="s">
        <v>26</v>
      </c>
      <c r="G20" s="13" t="s">
        <v>106</v>
      </c>
      <c r="H20" s="16" t="s">
        <v>107</v>
      </c>
    </row>
    <row r="21" spans="1:8" ht="64.900000000000006" customHeight="1">
      <c r="A21" s="13">
        <v>10</v>
      </c>
      <c r="B21" s="17" t="s">
        <v>133</v>
      </c>
      <c r="C21" s="17" t="s">
        <v>134</v>
      </c>
      <c r="D21" s="13" t="s">
        <v>34</v>
      </c>
      <c r="E21" s="14">
        <v>0.05</v>
      </c>
      <c r="F21" s="13" t="s">
        <v>135</v>
      </c>
      <c r="G21" s="13" t="s">
        <v>136</v>
      </c>
      <c r="H21" s="17" t="s">
        <v>137</v>
      </c>
    </row>
    <row r="22" spans="1:8" ht="43.15" customHeight="1">
      <c r="A22" s="13">
        <v>11</v>
      </c>
      <c r="B22" s="17" t="s">
        <v>138</v>
      </c>
      <c r="C22" s="17" t="s">
        <v>139</v>
      </c>
      <c r="D22" s="13" t="s">
        <v>140</v>
      </c>
      <c r="E22" s="14">
        <v>0.05</v>
      </c>
      <c r="F22" s="13" t="s">
        <v>65</v>
      </c>
      <c r="G22" s="13" t="s">
        <v>141</v>
      </c>
      <c r="H22" s="16" t="s">
        <v>107</v>
      </c>
    </row>
    <row r="23" spans="1:8" ht="27.6" customHeight="1">
      <c r="A23" s="13">
        <v>12</v>
      </c>
      <c r="B23" s="17" t="s">
        <v>142</v>
      </c>
      <c r="C23" s="17" t="s">
        <v>143</v>
      </c>
      <c r="D23" s="13" t="s">
        <v>34</v>
      </c>
      <c r="E23" s="14">
        <v>0.05</v>
      </c>
      <c r="F23" s="13" t="s">
        <v>26</v>
      </c>
      <c r="G23" s="13" t="s">
        <v>106</v>
      </c>
      <c r="H23" s="15" t="s">
        <v>110</v>
      </c>
    </row>
    <row r="24" spans="1:8" ht="27.6" customHeight="1">
      <c r="A24" s="13">
        <v>13</v>
      </c>
      <c r="B24" s="17" t="s">
        <v>144</v>
      </c>
      <c r="C24" s="17" t="s">
        <v>145</v>
      </c>
      <c r="D24" s="13" t="s">
        <v>34</v>
      </c>
      <c r="E24" s="14">
        <v>0.02</v>
      </c>
      <c r="F24" s="13" t="s">
        <v>129</v>
      </c>
      <c r="G24" s="13" t="s">
        <v>146</v>
      </c>
      <c r="H24" s="16" t="s">
        <v>147</v>
      </c>
    </row>
    <row r="25" spans="1:8" ht="27.6" customHeight="1">
      <c r="A25" s="13">
        <v>14</v>
      </c>
      <c r="B25" s="17" t="s">
        <v>148</v>
      </c>
      <c r="C25" s="17" t="s">
        <v>149</v>
      </c>
      <c r="D25" s="13" t="s">
        <v>34</v>
      </c>
      <c r="E25" s="14">
        <v>0.02</v>
      </c>
      <c r="F25" s="13" t="s">
        <v>26</v>
      </c>
      <c r="G25" s="13" t="s">
        <v>150</v>
      </c>
      <c r="H25" s="16" t="s">
        <v>151</v>
      </c>
    </row>
    <row r="26" spans="1:8" ht="27.6" customHeight="1">
      <c r="A26" s="13">
        <v>15</v>
      </c>
      <c r="B26" s="17" t="s">
        <v>152</v>
      </c>
      <c r="C26" s="17" t="s">
        <v>153</v>
      </c>
      <c r="D26" s="13" t="s">
        <v>34</v>
      </c>
      <c r="E26" s="14">
        <v>0.02</v>
      </c>
      <c r="F26" s="13" t="s">
        <v>65</v>
      </c>
      <c r="G26" s="13" t="s">
        <v>154</v>
      </c>
      <c r="H26" s="13" t="s">
        <v>155</v>
      </c>
    </row>
    <row r="27" spans="1:8" ht="27.6" customHeight="1">
      <c r="A27" s="13">
        <v>16</v>
      </c>
      <c r="B27" s="17" t="s">
        <v>156</v>
      </c>
      <c r="C27" s="17" t="s">
        <v>157</v>
      </c>
      <c r="D27" s="13" t="s">
        <v>34</v>
      </c>
      <c r="E27" s="14">
        <v>0.01</v>
      </c>
      <c r="F27" s="13" t="s">
        <v>65</v>
      </c>
      <c r="G27" s="13" t="s">
        <v>158</v>
      </c>
      <c r="H27" s="13" t="s">
        <v>158</v>
      </c>
    </row>
    <row r="28" spans="1:8">
      <c r="E28" s="6">
        <f>SUM(E12:E27)</f>
        <v>1.0000000000000002</v>
      </c>
    </row>
    <row r="31" spans="1:8">
      <c r="B31" s="1" t="s">
        <v>96</v>
      </c>
      <c r="C31" s="1" t="s">
        <v>97</v>
      </c>
      <c r="D31" s="1" t="s">
        <v>98</v>
      </c>
      <c r="H31" s="1" t="s">
        <v>99</v>
      </c>
    </row>
  </sheetData>
  <mergeCells count="5">
    <mergeCell ref="A1:B3"/>
    <mergeCell ref="C1:G3"/>
    <mergeCell ref="A4:B4"/>
    <mergeCell ref="C4:G5"/>
    <mergeCell ref="A5:B5"/>
  </mergeCells>
  <hyperlinks>
    <hyperlink ref="H12" r:id="rId1" display="https://www.hapag-lloyd.com,mymsc.com,https://my.zim.com/https://www.cma-cgm.com/" xr:uid="{1864545D-B941-4D07-8F2B-79C35158971F}"/>
    <hyperlink ref="H17" r:id="rId2" xr:uid="{480EE25E-AB1F-4640-B3D4-9BED6B734822}"/>
    <hyperlink ref="H20" r:id="rId3" xr:uid="{352D500C-75C5-41A5-AAAC-26B34CBB7E97}"/>
    <hyperlink ref="H13" r:id="rId4" xr:uid="{9BA5C357-BF66-47B4-B2FB-41B08D6D4A45}"/>
    <hyperlink ref="H24" r:id="rId5" xr:uid="{5A7A5A8A-D989-4006-BD73-5C700FD5C254}"/>
    <hyperlink ref="H15" r:id="rId6" xr:uid="{4F2E3FA8-7C4B-45CA-8FC8-D34E8E3BE94B}"/>
    <hyperlink ref="H16" r:id="rId7" xr:uid="{373A911E-7899-4CB3-9B30-0E41117D853C}"/>
    <hyperlink ref="H22" r:id="rId8" xr:uid="{075306A6-7B62-4B8D-B67C-8447C416D545}"/>
    <hyperlink ref="H23" r:id="rId9" xr:uid="{562A6267-E3E2-4908-9948-317906A1126C}"/>
    <hyperlink ref="H25" r:id="rId10" xr:uid="{44509911-6CAC-4827-83A2-518436047CFF}"/>
    <hyperlink ref="H14" r:id="rId11" xr:uid="{EEA31C22-1D20-47BF-AE82-A45C1AE0DEE4}"/>
  </hyperlinks>
  <pageMargins left="0.7" right="0.7" top="0.75" bottom="0.75" header="0.3" footer="0.3"/>
  <pageSetup paperSize="9" orientation="portrait" verticalDpi="0" r:id="rId12"/>
  <drawing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1854-6C98-419A-9684-3D9F763F883F}">
  <dimension ref="A1"/>
  <sheetViews>
    <sheetView workbookViewId="0"/>
  </sheetViews>
  <sheetFormatPr defaultColWidth="11.42578125"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F28-DCD3-4A86-8F2D-8D4D218D738F}">
  <dimension ref="A1:B14"/>
  <sheetViews>
    <sheetView workbookViewId="0">
      <selection activeCell="A23" sqref="A23"/>
    </sheetView>
  </sheetViews>
  <sheetFormatPr defaultColWidth="11.42578125" defaultRowHeight="14.45"/>
  <cols>
    <col min="2" max="2" width="14.5703125" bestFit="1" customWidth="1"/>
  </cols>
  <sheetData>
    <row r="1" spans="1:2">
      <c r="A1" t="s">
        <v>25</v>
      </c>
      <c r="B1" t="s">
        <v>159</v>
      </c>
    </row>
    <row r="2" spans="1:2">
      <c r="A2" t="s">
        <v>34</v>
      </c>
      <c r="B2" t="s">
        <v>160</v>
      </c>
    </row>
    <row r="3" spans="1:2">
      <c r="A3" t="s">
        <v>161</v>
      </c>
      <c r="B3" t="s">
        <v>47</v>
      </c>
    </row>
    <row r="4" spans="1:2">
      <c r="A4" t="s">
        <v>162</v>
      </c>
      <c r="B4" t="s">
        <v>163</v>
      </c>
    </row>
    <row r="5" spans="1:2">
      <c r="A5" t="s">
        <v>164</v>
      </c>
      <c r="B5" t="s">
        <v>165</v>
      </c>
    </row>
    <row r="6" spans="1:2">
      <c r="A6" t="s">
        <v>140</v>
      </c>
      <c r="B6" t="s">
        <v>65</v>
      </c>
    </row>
    <row r="7" spans="1:2">
      <c r="A7" t="s">
        <v>166</v>
      </c>
      <c r="B7" t="s">
        <v>76</v>
      </c>
    </row>
    <row r="8" spans="1:2">
      <c r="A8" t="s">
        <v>167</v>
      </c>
      <c r="B8" t="s">
        <v>69</v>
      </c>
    </row>
    <row r="9" spans="1:2">
      <c r="B9" t="s">
        <v>168</v>
      </c>
    </row>
    <row r="10" spans="1:2">
      <c r="B10" t="s">
        <v>39</v>
      </c>
    </row>
    <row r="11" spans="1:2">
      <c r="B11" t="s">
        <v>169</v>
      </c>
    </row>
    <row r="12" spans="1:2">
      <c r="B12" t="s">
        <v>26</v>
      </c>
    </row>
    <row r="13" spans="1:2">
      <c r="B13" t="s">
        <v>31</v>
      </c>
    </row>
    <row r="14" spans="1:2">
      <c r="B14" t="s">
        <v>129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B1F43-AADE-4AF6-954F-6E11C5CBCF57}">
  <dimension ref="A1:H38"/>
  <sheetViews>
    <sheetView showGridLines="0" workbookViewId="0">
      <pane ySplit="11" topLeftCell="A33" activePane="bottomLeft" state="frozen"/>
      <selection pane="bottomLeft" activeCell="C16" sqref="C16"/>
    </sheetView>
  </sheetViews>
  <sheetFormatPr defaultColWidth="11.42578125" defaultRowHeight="14.45"/>
  <cols>
    <col min="1" max="1" width="9.7109375" style="1" bestFit="1" customWidth="1"/>
    <col min="2" max="2" width="52.7109375" style="1" customWidth="1"/>
    <col min="3" max="3" width="59.85546875" style="1" customWidth="1"/>
    <col min="4" max="4" width="11.5703125" style="1" bestFit="1" customWidth="1"/>
    <col min="5" max="5" width="9.85546875" style="6" bestFit="1" customWidth="1"/>
    <col min="6" max="6" width="11.5703125" style="1" customWidth="1"/>
    <col min="7" max="7" width="17.7109375" style="1" customWidth="1"/>
    <col min="8" max="8" width="44" style="1" customWidth="1"/>
  </cols>
  <sheetData>
    <row r="1" spans="1:8" ht="14.45" customHeight="1">
      <c r="A1" s="22"/>
      <c r="B1" s="23"/>
      <c r="C1" s="28" t="s">
        <v>0</v>
      </c>
      <c r="D1" s="28"/>
      <c r="E1" s="28"/>
      <c r="F1" s="28"/>
      <c r="G1" s="28"/>
      <c r="H1" s="10" t="s">
        <v>1</v>
      </c>
    </row>
    <row r="2" spans="1:8" ht="14.45" customHeight="1">
      <c r="A2" s="24"/>
      <c r="B2" s="25"/>
      <c r="C2" s="28"/>
      <c r="D2" s="28"/>
      <c r="E2" s="28"/>
      <c r="F2" s="28"/>
      <c r="G2" s="28"/>
      <c r="H2" s="10" t="s">
        <v>2</v>
      </c>
    </row>
    <row r="3" spans="1:8" ht="14.45" customHeight="1">
      <c r="A3" s="26"/>
      <c r="B3" s="27"/>
      <c r="C3" s="28"/>
      <c r="D3" s="28"/>
      <c r="E3" s="28"/>
      <c r="F3" s="28"/>
      <c r="G3" s="28"/>
      <c r="H3" s="10" t="s">
        <v>3</v>
      </c>
    </row>
    <row r="4" spans="1:8" ht="14.45" customHeight="1">
      <c r="A4" s="29" t="s">
        <v>4</v>
      </c>
      <c r="B4" s="29"/>
      <c r="C4" s="29" t="s">
        <v>5</v>
      </c>
      <c r="D4" s="29"/>
      <c r="E4" s="29"/>
      <c r="F4" s="29"/>
      <c r="G4" s="29"/>
      <c r="H4" s="10" t="s">
        <v>6</v>
      </c>
    </row>
    <row r="5" spans="1:8" ht="14.45" customHeight="1">
      <c r="A5" s="29" t="s">
        <v>7</v>
      </c>
      <c r="B5" s="29"/>
      <c r="C5" s="29"/>
      <c r="D5" s="29"/>
      <c r="E5" s="29"/>
      <c r="F5" s="29"/>
      <c r="G5" s="29"/>
      <c r="H5" s="10" t="s">
        <v>8</v>
      </c>
    </row>
    <row r="7" spans="1:8">
      <c r="A7" s="7" t="s">
        <v>9</v>
      </c>
      <c r="B7" s="2" t="s">
        <v>170</v>
      </c>
      <c r="C7" s="3"/>
      <c r="D7" s="3"/>
      <c r="E7" s="4"/>
      <c r="F7" s="3"/>
      <c r="G7" s="3"/>
      <c r="H7" s="3"/>
    </row>
    <row r="8" spans="1:8">
      <c r="A8" s="7" t="s">
        <v>11</v>
      </c>
      <c r="B8" s="2" t="s">
        <v>171</v>
      </c>
      <c r="C8" s="3"/>
      <c r="D8" s="3"/>
      <c r="E8" s="4"/>
      <c r="F8" s="3"/>
      <c r="G8" s="3"/>
      <c r="H8" s="3"/>
    </row>
    <row r="9" spans="1:8">
      <c r="A9" s="8" t="s">
        <v>13</v>
      </c>
      <c r="B9" s="1" t="s">
        <v>172</v>
      </c>
      <c r="C9" s="3"/>
      <c r="D9" s="3"/>
      <c r="E9" s="4"/>
      <c r="F9" s="3"/>
      <c r="G9" s="3"/>
      <c r="H9" s="3"/>
    </row>
    <row r="10" spans="1:8" ht="9.6" customHeight="1">
      <c r="A10" s="3"/>
      <c r="B10" s="3"/>
      <c r="C10" s="3"/>
      <c r="D10" s="3"/>
      <c r="E10" s="4"/>
      <c r="F10" s="3"/>
      <c r="G10" s="3"/>
      <c r="H10" s="3"/>
    </row>
    <row r="11" spans="1:8" s="1" customFormat="1" ht="27.6" customHeight="1">
      <c r="A11" s="7" t="s">
        <v>15</v>
      </c>
      <c r="B11" s="7" t="s">
        <v>16</v>
      </c>
      <c r="C11" s="7" t="s">
        <v>17</v>
      </c>
      <c r="D11" s="7" t="s">
        <v>18</v>
      </c>
      <c r="E11" s="9" t="s">
        <v>19</v>
      </c>
      <c r="F11" s="7" t="s">
        <v>20</v>
      </c>
      <c r="G11" s="7" t="s">
        <v>21</v>
      </c>
      <c r="H11" s="7" t="s">
        <v>22</v>
      </c>
    </row>
    <row r="12" spans="1:8" ht="27.6" customHeight="1">
      <c r="A12" s="2">
        <v>1</v>
      </c>
      <c r="B12" s="2" t="s">
        <v>173</v>
      </c>
      <c r="C12" s="11" t="s">
        <v>174</v>
      </c>
      <c r="D12" s="2" t="s">
        <v>34</v>
      </c>
      <c r="E12" s="5">
        <v>0.08</v>
      </c>
      <c r="F12" s="2" t="s">
        <v>65</v>
      </c>
      <c r="G12" s="11" t="s">
        <v>175</v>
      </c>
      <c r="H12" s="11" t="s">
        <v>176</v>
      </c>
    </row>
    <row r="13" spans="1:8" ht="47.25" customHeight="1">
      <c r="A13" s="2">
        <v>2</v>
      </c>
      <c r="B13" s="11" t="s">
        <v>177</v>
      </c>
      <c r="C13" s="11" t="s">
        <v>178</v>
      </c>
      <c r="D13" s="2" t="s">
        <v>34</v>
      </c>
      <c r="E13" s="5">
        <v>0.08</v>
      </c>
      <c r="F13" s="2" t="s">
        <v>65</v>
      </c>
      <c r="G13" s="11" t="s">
        <v>175</v>
      </c>
      <c r="H13" s="11" t="s">
        <v>179</v>
      </c>
    </row>
    <row r="14" spans="1:8" ht="33.75" customHeight="1">
      <c r="A14" s="2">
        <v>3</v>
      </c>
      <c r="B14" s="11" t="s">
        <v>180</v>
      </c>
      <c r="C14" s="11" t="s">
        <v>181</v>
      </c>
      <c r="D14" s="2" t="s">
        <v>34</v>
      </c>
      <c r="E14" s="5">
        <v>7.0000000000000007E-2</v>
      </c>
      <c r="F14" s="2" t="s">
        <v>65</v>
      </c>
      <c r="G14" s="11" t="s">
        <v>175</v>
      </c>
      <c r="H14" s="2" t="s">
        <v>182</v>
      </c>
    </row>
    <row r="15" spans="1:8" ht="47.25" customHeight="1">
      <c r="A15" s="2">
        <v>4</v>
      </c>
      <c r="B15" s="11" t="s">
        <v>183</v>
      </c>
      <c r="C15" s="11" t="s">
        <v>184</v>
      </c>
      <c r="D15" s="2" t="s">
        <v>34</v>
      </c>
      <c r="E15" s="5">
        <v>7.0000000000000007E-2</v>
      </c>
      <c r="F15" s="2" t="s">
        <v>65</v>
      </c>
      <c r="G15" s="11" t="s">
        <v>175</v>
      </c>
      <c r="H15" s="2" t="s">
        <v>185</v>
      </c>
    </row>
    <row r="16" spans="1:8" ht="36.75" customHeight="1">
      <c r="A16" s="2">
        <v>5</v>
      </c>
      <c r="B16" s="2" t="s">
        <v>186</v>
      </c>
      <c r="C16" s="11" t="s">
        <v>187</v>
      </c>
      <c r="D16" s="2" t="s">
        <v>34</v>
      </c>
      <c r="E16" s="5">
        <v>0.06</v>
      </c>
      <c r="F16" s="2" t="s">
        <v>65</v>
      </c>
      <c r="G16" s="11" t="s">
        <v>175</v>
      </c>
      <c r="H16" s="11" t="s">
        <v>188</v>
      </c>
    </row>
    <row r="17" spans="1:8" ht="52.5" customHeight="1">
      <c r="A17" s="2">
        <v>6</v>
      </c>
      <c r="B17" s="11" t="s">
        <v>189</v>
      </c>
      <c r="C17" s="11" t="s">
        <v>190</v>
      </c>
      <c r="D17" s="2" t="s">
        <v>34</v>
      </c>
      <c r="E17" s="5">
        <v>0.06</v>
      </c>
      <c r="F17" s="2" t="s">
        <v>65</v>
      </c>
      <c r="G17" s="11" t="s">
        <v>175</v>
      </c>
      <c r="H17" s="11" t="s">
        <v>191</v>
      </c>
    </row>
    <row r="18" spans="1:8" ht="60" customHeight="1">
      <c r="A18" s="2">
        <v>7</v>
      </c>
      <c r="B18" s="11" t="s">
        <v>192</v>
      </c>
      <c r="C18" s="11" t="s">
        <v>193</v>
      </c>
      <c r="D18" s="2" t="s">
        <v>34</v>
      </c>
      <c r="E18" s="5">
        <v>0.06</v>
      </c>
      <c r="F18" s="2" t="s">
        <v>65</v>
      </c>
      <c r="G18" s="11" t="s">
        <v>175</v>
      </c>
      <c r="H18" s="2" t="s">
        <v>158</v>
      </c>
    </row>
    <row r="19" spans="1:8" ht="27.6" customHeight="1">
      <c r="A19" s="2">
        <v>8</v>
      </c>
      <c r="B19" s="2" t="s">
        <v>194</v>
      </c>
      <c r="C19" s="11" t="s">
        <v>195</v>
      </c>
      <c r="D19" s="2" t="s">
        <v>34</v>
      </c>
      <c r="E19" s="5">
        <v>0.05</v>
      </c>
      <c r="F19" s="2" t="s">
        <v>65</v>
      </c>
      <c r="G19" s="11" t="s">
        <v>175</v>
      </c>
      <c r="H19" s="11" t="s">
        <v>196</v>
      </c>
    </row>
    <row r="20" spans="1:8" ht="43.15">
      <c r="A20" s="2">
        <v>9</v>
      </c>
      <c r="B20" s="2" t="s">
        <v>197</v>
      </c>
      <c r="C20" s="11" t="s">
        <v>198</v>
      </c>
      <c r="D20" s="2" t="s">
        <v>34</v>
      </c>
      <c r="E20" s="5">
        <v>0.05</v>
      </c>
      <c r="F20" s="2" t="s">
        <v>65</v>
      </c>
      <c r="G20" s="11" t="s">
        <v>175</v>
      </c>
      <c r="H20" s="11" t="s">
        <v>199</v>
      </c>
    </row>
    <row r="21" spans="1:8" ht="51" customHeight="1">
      <c r="A21" s="2">
        <v>10</v>
      </c>
      <c r="B21" s="11" t="s">
        <v>200</v>
      </c>
      <c r="C21" s="11" t="s">
        <v>201</v>
      </c>
      <c r="D21" s="2" t="s">
        <v>34</v>
      </c>
      <c r="E21" s="5">
        <v>0.05</v>
      </c>
      <c r="F21" s="2" t="s">
        <v>65</v>
      </c>
      <c r="G21" s="11" t="s">
        <v>202</v>
      </c>
      <c r="H21" s="2" t="s">
        <v>203</v>
      </c>
    </row>
    <row r="22" spans="1:8" ht="47.25" customHeight="1">
      <c r="A22" s="2">
        <v>11</v>
      </c>
      <c r="B22" s="11" t="s">
        <v>204</v>
      </c>
      <c r="C22" s="11" t="s">
        <v>205</v>
      </c>
      <c r="D22" s="2" t="s">
        <v>34</v>
      </c>
      <c r="E22" s="5">
        <v>0.04</v>
      </c>
      <c r="F22" s="2" t="s">
        <v>65</v>
      </c>
      <c r="G22" s="11" t="s">
        <v>175</v>
      </c>
      <c r="H22" s="11" t="s">
        <v>206</v>
      </c>
    </row>
    <row r="23" spans="1:8" ht="43.15">
      <c r="A23" s="2">
        <v>12</v>
      </c>
      <c r="B23" s="11" t="s">
        <v>207</v>
      </c>
      <c r="C23" s="11" t="s">
        <v>208</v>
      </c>
      <c r="D23" s="2" t="s">
        <v>34</v>
      </c>
      <c r="E23" s="5">
        <v>0.04</v>
      </c>
      <c r="F23" s="2" t="s">
        <v>65</v>
      </c>
      <c r="G23" s="11" t="s">
        <v>175</v>
      </c>
      <c r="H23" s="11" t="s">
        <v>206</v>
      </c>
    </row>
    <row r="24" spans="1:8" ht="27.6" customHeight="1">
      <c r="A24" s="2">
        <v>13</v>
      </c>
      <c r="B24" s="11" t="s">
        <v>209</v>
      </c>
      <c r="C24" s="11" t="s">
        <v>210</v>
      </c>
      <c r="D24" s="2" t="s">
        <v>34</v>
      </c>
      <c r="E24" s="5">
        <v>0.04</v>
      </c>
      <c r="F24" s="2" t="s">
        <v>65</v>
      </c>
      <c r="G24" s="11" t="s">
        <v>175</v>
      </c>
      <c r="H24" s="2" t="s">
        <v>158</v>
      </c>
    </row>
    <row r="25" spans="1:8" ht="27.6" customHeight="1">
      <c r="A25" s="2">
        <v>14</v>
      </c>
      <c r="B25" s="11" t="s">
        <v>211</v>
      </c>
      <c r="C25" s="11" t="s">
        <v>212</v>
      </c>
      <c r="D25" s="2" t="s">
        <v>34</v>
      </c>
      <c r="E25" s="5">
        <v>0.04</v>
      </c>
      <c r="F25" s="2" t="s">
        <v>65</v>
      </c>
      <c r="G25" s="11" t="s">
        <v>213</v>
      </c>
      <c r="H25" s="2" t="s">
        <v>214</v>
      </c>
    </row>
    <row r="26" spans="1:8" ht="27.6" customHeight="1">
      <c r="A26" s="2">
        <v>15</v>
      </c>
      <c r="B26" s="11" t="s">
        <v>215</v>
      </c>
      <c r="C26" s="11" t="s">
        <v>216</v>
      </c>
      <c r="D26" s="2" t="s">
        <v>34</v>
      </c>
      <c r="E26" s="5">
        <v>0.04</v>
      </c>
      <c r="F26" s="2" t="s">
        <v>65</v>
      </c>
      <c r="G26" s="11" t="s">
        <v>175</v>
      </c>
      <c r="H26" s="2" t="s">
        <v>217</v>
      </c>
    </row>
    <row r="27" spans="1:8" ht="27.6" customHeight="1">
      <c r="A27" s="2">
        <v>16</v>
      </c>
      <c r="B27" s="11" t="s">
        <v>218</v>
      </c>
      <c r="C27" s="11" t="s">
        <v>219</v>
      </c>
      <c r="D27" s="2" t="s">
        <v>34</v>
      </c>
      <c r="E27" s="5">
        <v>0.03</v>
      </c>
      <c r="F27" s="2" t="s">
        <v>65</v>
      </c>
      <c r="G27" s="11" t="s">
        <v>220</v>
      </c>
      <c r="H27" s="11" t="s">
        <v>179</v>
      </c>
    </row>
    <row r="28" spans="1:8" ht="27.6" customHeight="1">
      <c r="A28" s="2">
        <v>17</v>
      </c>
      <c r="B28" s="2" t="s">
        <v>221</v>
      </c>
      <c r="C28" s="11" t="s">
        <v>222</v>
      </c>
      <c r="D28" s="2" t="s">
        <v>34</v>
      </c>
      <c r="E28" s="5">
        <v>0.02</v>
      </c>
      <c r="F28" s="2" t="s">
        <v>65</v>
      </c>
      <c r="G28" s="11" t="s">
        <v>175</v>
      </c>
      <c r="H28" s="11" t="s">
        <v>223</v>
      </c>
    </row>
    <row r="29" spans="1:8" ht="27.6" customHeight="1">
      <c r="A29" s="2">
        <v>18</v>
      </c>
      <c r="B29" s="11" t="s">
        <v>224</v>
      </c>
      <c r="C29" s="11" t="s">
        <v>225</v>
      </c>
      <c r="D29" s="2" t="s">
        <v>34</v>
      </c>
      <c r="E29" s="5">
        <v>0.02</v>
      </c>
      <c r="F29" s="2" t="s">
        <v>65</v>
      </c>
      <c r="G29" s="11" t="s">
        <v>175</v>
      </c>
      <c r="H29" s="11" t="s">
        <v>226</v>
      </c>
    </row>
    <row r="30" spans="1:8" ht="48" customHeight="1">
      <c r="A30" s="2">
        <v>19</v>
      </c>
      <c r="B30" s="11" t="s">
        <v>227</v>
      </c>
      <c r="C30" s="11" t="s">
        <v>228</v>
      </c>
      <c r="D30" s="2" t="s">
        <v>34</v>
      </c>
      <c r="E30" s="5">
        <v>0.02</v>
      </c>
      <c r="F30" s="2" t="s">
        <v>65</v>
      </c>
      <c r="G30" s="11" t="s">
        <v>229</v>
      </c>
      <c r="H30" s="11" t="s">
        <v>230</v>
      </c>
    </row>
    <row r="31" spans="1:8" ht="53.25" customHeight="1">
      <c r="A31" s="2">
        <v>20</v>
      </c>
      <c r="B31" s="11" t="s">
        <v>231</v>
      </c>
      <c r="C31" s="11" t="s">
        <v>232</v>
      </c>
      <c r="D31" s="2" t="s">
        <v>34</v>
      </c>
      <c r="E31" s="5">
        <v>0.02</v>
      </c>
      <c r="F31" s="2" t="s">
        <v>65</v>
      </c>
      <c r="G31" s="11" t="s">
        <v>233</v>
      </c>
      <c r="H31" s="2" t="s">
        <v>230</v>
      </c>
    </row>
    <row r="32" spans="1:8" ht="42" customHeight="1">
      <c r="A32" s="2">
        <v>21</v>
      </c>
      <c r="B32" s="11" t="s">
        <v>234</v>
      </c>
      <c r="C32" s="11" t="s">
        <v>235</v>
      </c>
      <c r="D32" s="2" t="s">
        <v>34</v>
      </c>
      <c r="E32" s="5">
        <v>0.02</v>
      </c>
      <c r="F32" s="2" t="s">
        <v>65</v>
      </c>
      <c r="G32" s="11" t="s">
        <v>175</v>
      </c>
      <c r="H32" s="2" t="s">
        <v>217</v>
      </c>
    </row>
    <row r="33" spans="1:8" ht="27.6" customHeight="1">
      <c r="A33" s="2">
        <v>22</v>
      </c>
      <c r="B33" s="11" t="s">
        <v>236</v>
      </c>
      <c r="C33" s="11" t="s">
        <v>237</v>
      </c>
      <c r="D33" s="2" t="s">
        <v>34</v>
      </c>
      <c r="E33" s="5">
        <v>0.02</v>
      </c>
      <c r="F33" s="2" t="s">
        <v>65</v>
      </c>
      <c r="G33" s="11" t="s">
        <v>238</v>
      </c>
      <c r="H33" s="2" t="s">
        <v>230</v>
      </c>
    </row>
    <row r="34" spans="1:8" ht="39" customHeight="1">
      <c r="A34" s="2">
        <v>23</v>
      </c>
      <c r="B34" s="2" t="s">
        <v>239</v>
      </c>
      <c r="C34" s="11" t="s">
        <v>240</v>
      </c>
      <c r="D34" s="2" t="s">
        <v>34</v>
      </c>
      <c r="E34" s="5">
        <v>0.02</v>
      </c>
      <c r="F34" s="2" t="s">
        <v>65</v>
      </c>
      <c r="G34" s="11" t="s">
        <v>175</v>
      </c>
      <c r="H34" s="2" t="s">
        <v>241</v>
      </c>
    </row>
    <row r="35" spans="1:8" ht="27.6" customHeight="1">
      <c r="E35" s="6">
        <f>SUM(E12:E34)</f>
        <v>1.0000000000000004</v>
      </c>
    </row>
    <row r="36" spans="1:8" ht="27.6" customHeight="1"/>
    <row r="37" spans="1:8" ht="27.6" customHeight="1"/>
    <row r="38" spans="1:8" ht="27.6" customHeight="1">
      <c r="B38" s="1" t="s">
        <v>96</v>
      </c>
      <c r="C38" s="1" t="s">
        <v>97</v>
      </c>
      <c r="D38" s="1" t="s">
        <v>98</v>
      </c>
      <c r="H38" s="1" t="s">
        <v>99</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12C564A4-7EC3-4E98-840E-D34A0A6E1C5C}">
          <x14:formula1>
            <xm:f>Hoja1!$B$1:$B$14</xm:f>
          </x14:formula1>
          <xm:sqref>F12:F38</xm:sqref>
        </x14:dataValidation>
        <x14:dataValidation type="list" allowBlank="1" showInputMessage="1" showErrorMessage="1" xr:uid="{35919220-E6CF-464F-9C65-F4DC83B9C4C7}">
          <x14:formula1>
            <xm:f>Hoja1!$A$1:$A$8</xm:f>
          </x14:formula1>
          <xm:sqref>D12:D38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6578-F2FA-496C-BFBE-CCFA0CF4B906}">
  <dimension ref="A1:H33"/>
  <sheetViews>
    <sheetView showGridLines="0" tabSelected="1" workbookViewId="0">
      <pane ySplit="11" topLeftCell="A22" activePane="bottomLeft" state="frozen"/>
      <selection pane="bottomLeft" activeCell="B25" sqref="B25"/>
    </sheetView>
  </sheetViews>
  <sheetFormatPr defaultColWidth="11.42578125" defaultRowHeight="14.45"/>
  <cols>
    <col min="1" max="1" width="9.7109375" style="1" bestFit="1" customWidth="1"/>
    <col min="2" max="2" width="52.7109375" style="1" customWidth="1"/>
    <col min="3" max="3" width="57.28515625" style="1" customWidth="1"/>
    <col min="4" max="4" width="11.5703125" style="1" bestFit="1" customWidth="1"/>
    <col min="5" max="5" width="9.85546875" style="6" bestFit="1" customWidth="1"/>
    <col min="6" max="6" width="11.5703125" style="1" customWidth="1"/>
    <col min="7" max="7" width="42.42578125" style="1" bestFit="1" customWidth="1"/>
    <col min="8" max="8" width="44" style="1" customWidth="1"/>
  </cols>
  <sheetData>
    <row r="1" spans="1:8" ht="14.45" customHeight="1">
      <c r="A1" s="22"/>
      <c r="B1" s="23"/>
      <c r="C1" s="28" t="s">
        <v>0</v>
      </c>
      <c r="D1" s="28"/>
      <c r="E1" s="28"/>
      <c r="F1" s="28"/>
      <c r="G1" s="28"/>
      <c r="H1" s="10" t="s">
        <v>1</v>
      </c>
    </row>
    <row r="2" spans="1:8" ht="14.45" customHeight="1">
      <c r="A2" s="24"/>
      <c r="B2" s="25"/>
      <c r="C2" s="28"/>
      <c r="D2" s="28"/>
      <c r="E2" s="28"/>
      <c r="F2" s="28"/>
      <c r="G2" s="28"/>
      <c r="H2" s="10" t="s">
        <v>2</v>
      </c>
    </row>
    <row r="3" spans="1:8" ht="14.45" customHeight="1">
      <c r="A3" s="26"/>
      <c r="B3" s="27"/>
      <c r="C3" s="28"/>
      <c r="D3" s="28"/>
      <c r="E3" s="28"/>
      <c r="F3" s="28"/>
      <c r="G3" s="28"/>
      <c r="H3" s="10" t="s">
        <v>3</v>
      </c>
    </row>
    <row r="4" spans="1:8" ht="14.45" customHeight="1">
      <c r="A4" s="29" t="s">
        <v>4</v>
      </c>
      <c r="B4" s="29"/>
      <c r="C4" s="29" t="s">
        <v>5</v>
      </c>
      <c r="D4" s="29"/>
      <c r="E4" s="29"/>
      <c r="F4" s="29"/>
      <c r="G4" s="29"/>
      <c r="H4" s="10" t="s">
        <v>6</v>
      </c>
    </row>
    <row r="5" spans="1:8" ht="14.45" customHeight="1">
      <c r="A5" s="29" t="s">
        <v>7</v>
      </c>
      <c r="B5" s="29"/>
      <c r="C5" s="29"/>
      <c r="D5" s="29"/>
      <c r="E5" s="29"/>
      <c r="F5" s="29"/>
      <c r="G5" s="29"/>
      <c r="H5" s="10" t="s">
        <v>8</v>
      </c>
    </row>
    <row r="7" spans="1:8">
      <c r="A7" s="7" t="s">
        <v>9</v>
      </c>
      <c r="B7" s="2" t="s">
        <v>170</v>
      </c>
      <c r="C7" s="3"/>
      <c r="D7" s="3"/>
      <c r="E7" s="4"/>
      <c r="F7" s="3"/>
      <c r="G7" s="3"/>
      <c r="H7" s="3"/>
    </row>
    <row r="8" spans="1:8">
      <c r="A8" s="7" t="s">
        <v>11</v>
      </c>
      <c r="B8" s="2" t="s">
        <v>242</v>
      </c>
      <c r="C8" s="3"/>
      <c r="D8" s="3"/>
      <c r="E8" s="4"/>
      <c r="F8" s="3"/>
      <c r="G8" s="3"/>
      <c r="H8" s="3"/>
    </row>
    <row r="9" spans="1:8">
      <c r="A9" s="8" t="s">
        <v>13</v>
      </c>
      <c r="B9" s="1" t="s">
        <v>172</v>
      </c>
      <c r="C9" s="3"/>
      <c r="D9" s="3"/>
      <c r="E9" s="4"/>
      <c r="F9" s="3"/>
      <c r="G9" s="3"/>
      <c r="H9" s="3"/>
    </row>
    <row r="10" spans="1:8" ht="9.6" customHeight="1">
      <c r="A10" s="3"/>
      <c r="B10" s="3"/>
      <c r="C10" s="3"/>
      <c r="D10" s="3"/>
      <c r="E10" s="4"/>
      <c r="F10" s="3"/>
      <c r="G10" s="3"/>
      <c r="H10" s="3"/>
    </row>
    <row r="11" spans="1:8" s="1" customFormat="1" ht="27.6" customHeight="1">
      <c r="A11" s="7" t="s">
        <v>15</v>
      </c>
      <c r="B11" s="7" t="s">
        <v>16</v>
      </c>
      <c r="C11" s="7" t="s">
        <v>17</v>
      </c>
      <c r="D11" s="7" t="s">
        <v>18</v>
      </c>
      <c r="E11" s="9" t="s">
        <v>19</v>
      </c>
      <c r="F11" s="7" t="s">
        <v>20</v>
      </c>
      <c r="G11" s="7" t="s">
        <v>21</v>
      </c>
      <c r="H11" s="7" t="s">
        <v>22</v>
      </c>
    </row>
    <row r="12" spans="1:8" s="1" customFormat="1" ht="27.6" customHeight="1">
      <c r="A12" s="2">
        <v>1</v>
      </c>
      <c r="B12" s="11" t="s">
        <v>243</v>
      </c>
      <c r="C12" s="19" t="s">
        <v>244</v>
      </c>
      <c r="D12" s="2" t="s">
        <v>34</v>
      </c>
      <c r="E12" s="5">
        <v>0.1</v>
      </c>
      <c r="F12" s="2" t="s">
        <v>65</v>
      </c>
      <c r="G12" s="2" t="s">
        <v>245</v>
      </c>
      <c r="H12" s="2" t="s">
        <v>246</v>
      </c>
    </row>
    <row r="13" spans="1:8" ht="43.15">
      <c r="A13" s="2">
        <v>2</v>
      </c>
      <c r="B13" s="11" t="s">
        <v>247</v>
      </c>
      <c r="C13" s="11" t="s">
        <v>248</v>
      </c>
      <c r="D13" s="2" t="s">
        <v>34</v>
      </c>
      <c r="E13" s="5">
        <v>0.1</v>
      </c>
      <c r="F13" s="2" t="s">
        <v>65</v>
      </c>
      <c r="G13" s="2" t="s">
        <v>213</v>
      </c>
      <c r="H13" s="2" t="s">
        <v>246</v>
      </c>
    </row>
    <row r="14" spans="1:8" ht="28.9">
      <c r="A14" s="2">
        <v>3</v>
      </c>
      <c r="B14" s="11" t="s">
        <v>249</v>
      </c>
      <c r="C14" s="11" t="s">
        <v>250</v>
      </c>
      <c r="D14" s="2" t="s">
        <v>34</v>
      </c>
      <c r="E14" s="5">
        <v>0.09</v>
      </c>
      <c r="F14" s="2" t="s">
        <v>65</v>
      </c>
      <c r="G14" s="2" t="s">
        <v>251</v>
      </c>
      <c r="H14" s="11" t="s">
        <v>252</v>
      </c>
    </row>
    <row r="15" spans="1:8" ht="57.6">
      <c r="A15" s="2">
        <v>4</v>
      </c>
      <c r="B15" s="11" t="s">
        <v>253</v>
      </c>
      <c r="C15" s="11" t="s">
        <v>254</v>
      </c>
      <c r="D15" s="2" t="s">
        <v>34</v>
      </c>
      <c r="E15" s="5">
        <v>0.09</v>
      </c>
      <c r="F15" s="2" t="s">
        <v>65</v>
      </c>
      <c r="G15" s="2" t="s">
        <v>255</v>
      </c>
      <c r="H15" s="2" t="s">
        <v>256</v>
      </c>
    </row>
    <row r="16" spans="1:8" ht="86.45">
      <c r="A16" s="2">
        <v>5</v>
      </c>
      <c r="B16" s="2" t="s">
        <v>257</v>
      </c>
      <c r="C16" s="11" t="s">
        <v>258</v>
      </c>
      <c r="D16" s="2" t="s">
        <v>25</v>
      </c>
      <c r="E16" s="5">
        <v>0.08</v>
      </c>
      <c r="F16" s="2" t="s">
        <v>65</v>
      </c>
      <c r="G16" s="2" t="s">
        <v>175</v>
      </c>
      <c r="H16" s="2" t="s">
        <v>259</v>
      </c>
    </row>
    <row r="17" spans="1:8" ht="43.15">
      <c r="A17" s="2">
        <v>6</v>
      </c>
      <c r="B17" s="2" t="s">
        <v>260</v>
      </c>
      <c r="C17" s="11" t="s">
        <v>261</v>
      </c>
      <c r="D17" s="2" t="s">
        <v>34</v>
      </c>
      <c r="E17" s="5">
        <v>0.06</v>
      </c>
      <c r="F17" s="2" t="s">
        <v>65</v>
      </c>
      <c r="G17" s="2" t="s">
        <v>175</v>
      </c>
      <c r="H17" s="2" t="s">
        <v>262</v>
      </c>
    </row>
    <row r="18" spans="1:8" ht="43.15">
      <c r="A18" s="2">
        <v>7</v>
      </c>
      <c r="B18" s="11" t="s">
        <v>263</v>
      </c>
      <c r="C18" s="11" t="s">
        <v>264</v>
      </c>
      <c r="D18" s="2" t="s">
        <v>34</v>
      </c>
      <c r="E18" s="5">
        <v>0.06</v>
      </c>
      <c r="F18" s="2" t="s">
        <v>65</v>
      </c>
      <c r="G18" s="2" t="s">
        <v>251</v>
      </c>
      <c r="H18" s="2" t="s">
        <v>262</v>
      </c>
    </row>
    <row r="19" spans="1:8" ht="72">
      <c r="A19" s="2">
        <v>8</v>
      </c>
      <c r="B19" s="2" t="s">
        <v>265</v>
      </c>
      <c r="C19" s="11" t="s">
        <v>266</v>
      </c>
      <c r="D19" s="2" t="s">
        <v>34</v>
      </c>
      <c r="E19" s="5">
        <v>0.06</v>
      </c>
      <c r="F19" s="2" t="s">
        <v>65</v>
      </c>
      <c r="G19" s="2" t="s">
        <v>255</v>
      </c>
      <c r="H19" s="2" t="s">
        <v>267</v>
      </c>
    </row>
    <row r="20" spans="1:8" ht="57.6">
      <c r="A20" s="2">
        <v>9</v>
      </c>
      <c r="B20" s="2" t="s">
        <v>268</v>
      </c>
      <c r="C20" s="11" t="s">
        <v>269</v>
      </c>
      <c r="D20" s="2" t="s">
        <v>34</v>
      </c>
      <c r="E20" s="5">
        <v>0.06</v>
      </c>
      <c r="F20" s="2" t="s">
        <v>65</v>
      </c>
      <c r="G20" s="2" t="s">
        <v>213</v>
      </c>
      <c r="H20" s="2" t="s">
        <v>270</v>
      </c>
    </row>
    <row r="21" spans="1:8" ht="43.15">
      <c r="A21" s="2">
        <v>10</v>
      </c>
      <c r="B21" s="11" t="s">
        <v>271</v>
      </c>
      <c r="C21" s="11" t="s">
        <v>272</v>
      </c>
      <c r="D21" s="2" t="s">
        <v>34</v>
      </c>
      <c r="E21" s="5">
        <v>0.06</v>
      </c>
      <c r="F21" s="2" t="s">
        <v>65</v>
      </c>
      <c r="G21" s="2" t="s">
        <v>273</v>
      </c>
      <c r="H21" s="2" t="s">
        <v>246</v>
      </c>
    </row>
    <row r="22" spans="1:8" ht="57.6">
      <c r="A22" s="2">
        <v>11</v>
      </c>
      <c r="B22" s="11" t="s">
        <v>274</v>
      </c>
      <c r="C22" s="11" t="s">
        <v>275</v>
      </c>
      <c r="D22" s="2" t="s">
        <v>34</v>
      </c>
      <c r="E22" s="5">
        <v>0.05</v>
      </c>
      <c r="F22" s="2" t="s">
        <v>65</v>
      </c>
      <c r="G22" s="2" t="s">
        <v>175</v>
      </c>
      <c r="H22" s="2" t="s">
        <v>246</v>
      </c>
    </row>
    <row r="23" spans="1:8" ht="57.6">
      <c r="A23" s="2">
        <v>12</v>
      </c>
      <c r="B23" s="11" t="s">
        <v>276</v>
      </c>
      <c r="C23" s="11" t="s">
        <v>277</v>
      </c>
      <c r="D23" s="2" t="s">
        <v>34</v>
      </c>
      <c r="E23" s="5">
        <v>0.05</v>
      </c>
      <c r="F23" s="2" t="s">
        <v>65</v>
      </c>
      <c r="G23" s="2" t="s">
        <v>278</v>
      </c>
      <c r="H23" s="2" t="s">
        <v>279</v>
      </c>
    </row>
    <row r="24" spans="1:8" ht="43.15">
      <c r="A24" s="2">
        <v>13</v>
      </c>
      <c r="B24" s="11" t="s">
        <v>280</v>
      </c>
      <c r="C24" s="11" t="s">
        <v>281</v>
      </c>
      <c r="D24" s="2" t="s">
        <v>34</v>
      </c>
      <c r="E24" s="5">
        <v>0.04</v>
      </c>
      <c r="F24" s="2" t="s">
        <v>65</v>
      </c>
      <c r="G24" s="2" t="s">
        <v>175</v>
      </c>
      <c r="H24" s="2" t="s">
        <v>282</v>
      </c>
    </row>
    <row r="25" spans="1:8" ht="57.6">
      <c r="A25" s="2">
        <v>14</v>
      </c>
      <c r="B25" s="11" t="s">
        <v>283</v>
      </c>
      <c r="C25" s="11" t="s">
        <v>284</v>
      </c>
      <c r="D25" s="2" t="s">
        <v>34</v>
      </c>
      <c r="E25" s="5">
        <v>0.04</v>
      </c>
      <c r="F25" s="2" t="s">
        <v>65</v>
      </c>
      <c r="G25" s="2" t="s">
        <v>175</v>
      </c>
      <c r="H25" s="2" t="s">
        <v>282</v>
      </c>
    </row>
    <row r="26" spans="1:8" ht="43.15">
      <c r="A26" s="2">
        <v>15</v>
      </c>
      <c r="B26" s="11" t="s">
        <v>285</v>
      </c>
      <c r="C26" s="11" t="s">
        <v>286</v>
      </c>
      <c r="D26" s="2" t="s">
        <v>34</v>
      </c>
      <c r="E26" s="5">
        <v>0.02</v>
      </c>
      <c r="F26" s="2" t="s">
        <v>65</v>
      </c>
      <c r="G26" s="2" t="s">
        <v>287</v>
      </c>
      <c r="H26" s="2" t="s">
        <v>91</v>
      </c>
    </row>
    <row r="27" spans="1:8" ht="43.15">
      <c r="A27" s="2">
        <v>16</v>
      </c>
      <c r="B27" s="11" t="s">
        <v>288</v>
      </c>
      <c r="C27" s="11" t="s">
        <v>289</v>
      </c>
      <c r="D27" s="2" t="s">
        <v>34</v>
      </c>
      <c r="E27" s="5">
        <v>0.02</v>
      </c>
      <c r="F27" s="2" t="s">
        <v>65</v>
      </c>
      <c r="G27" s="2" t="s">
        <v>273</v>
      </c>
      <c r="H27" s="2" t="s">
        <v>290</v>
      </c>
    </row>
    <row r="28" spans="1:8" ht="72">
      <c r="A28" s="2">
        <v>17</v>
      </c>
      <c r="B28" s="11" t="s">
        <v>291</v>
      </c>
      <c r="C28" s="11" t="s">
        <v>292</v>
      </c>
      <c r="D28" s="2" t="s">
        <v>34</v>
      </c>
      <c r="E28" s="5">
        <v>0.02</v>
      </c>
      <c r="F28" s="2" t="s">
        <v>65</v>
      </c>
      <c r="G28" s="2" t="s">
        <v>273</v>
      </c>
      <c r="H28" s="2" t="s">
        <v>282</v>
      </c>
    </row>
    <row r="29" spans="1:8">
      <c r="E29" s="6">
        <f>SUM(E12:E28)</f>
        <v>1.0000000000000004</v>
      </c>
    </row>
    <row r="33" spans="2:8">
      <c r="B33" s="1" t="s">
        <v>96</v>
      </c>
      <c r="C33" s="1" t="s">
        <v>97</v>
      </c>
      <c r="D33" s="1" t="s">
        <v>98</v>
      </c>
      <c r="H33" s="1" t="s">
        <v>99</v>
      </c>
    </row>
  </sheetData>
  <sortState xmlns:xlrd2="http://schemas.microsoft.com/office/spreadsheetml/2017/richdata2" ref="A13:H28">
    <sortCondition descending="1" ref="E13:E28"/>
  </sortState>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52940C83F49F74C86A5064E9C67BCC6" ma:contentTypeVersion="15" ma:contentTypeDescription="Crear nuevo documento." ma:contentTypeScope="" ma:versionID="13f3c24145856c1791ef2f667525d1ec">
  <xsd:schema xmlns:xsd="http://www.w3.org/2001/XMLSchema" xmlns:xs="http://www.w3.org/2001/XMLSchema" xmlns:p="http://schemas.microsoft.com/office/2006/metadata/properties" xmlns:ns2="d7cc9838-674c-409c-a8de-abf108bf37df" xmlns:ns3="56d59986-b1a9-409a-867d-286ffcf75860" targetNamespace="http://schemas.microsoft.com/office/2006/metadata/properties" ma:root="true" ma:fieldsID="68cf5696be1a9639e2afa9bfd8962112" ns2:_="" ns3:_="">
    <xsd:import namespace="d7cc9838-674c-409c-a8de-abf108bf37df"/>
    <xsd:import namespace="56d59986-b1a9-409a-867d-286ffcf7586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c9838-674c-409c-a8de-abf108bf37d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a8df10bf-1d5b-41b5-bdf3-459793abc5a2"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6d59986-b1a9-409a-867d-286ffcf7586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3737df0-2e23-4ed6-97db-c536e1fa40e1}" ma:internalName="TaxCatchAll" ma:showField="CatchAllData" ma:web="56d59986-b1a9-409a-867d-286ffcf75860">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880E46-94C5-493B-AA8C-565BDBE16B6F}"/>
</file>

<file path=customXml/itemProps2.xml><?xml version="1.0" encoding="utf-8"?>
<ds:datastoreItem xmlns:ds="http://schemas.openxmlformats.org/officeDocument/2006/customXml" ds:itemID="{3121FC72-C134-40EC-B498-96E7AC6A9D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Génesis Daza</dc:creator>
  <cp:keywords/>
  <dc:description/>
  <cp:lastModifiedBy>Adolfo Monar Freire</cp:lastModifiedBy>
  <cp:revision/>
  <dcterms:created xsi:type="dcterms:W3CDTF">2023-05-23T03:38:29Z</dcterms:created>
  <dcterms:modified xsi:type="dcterms:W3CDTF">2025-12-10T17:37:54Z</dcterms:modified>
  <cp:category/>
  <cp:contentStatus/>
</cp:coreProperties>
</file>