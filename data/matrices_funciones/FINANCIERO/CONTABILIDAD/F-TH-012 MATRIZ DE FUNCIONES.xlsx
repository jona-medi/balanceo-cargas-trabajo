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comments9.xml" ContentType="application/vnd.openxmlformats-officedocument.spreadsheetml.comments+xml"/>
  <Override PartName="/xl/drawings/drawing10.xml" ContentType="application/vnd.openxmlformats-officedocument.drawing+xml"/>
  <Override PartName="/xl/comments10.xml" ContentType="application/vnd.openxmlformats-officedocument.spreadsheetml.comments+xml"/>
  <Override PartName="/xl/drawings/drawing11.xml" ContentType="application/vnd.openxmlformats-officedocument.drawing+xml"/>
  <Override PartName="/xl/comments11.xml" ContentType="application/vnd.openxmlformats-officedocument.spreadsheetml.comments+xml"/>
  <Override PartName="/xl/drawings/drawing12.xml" ContentType="application/vnd.openxmlformats-officedocument.drawing+xml"/>
  <Override PartName="/xl/comments12.xml" ContentType="application/vnd.openxmlformats-officedocument.spreadsheetml.comments+xml"/>
  <Override PartName="/xl/drawings/drawing13.xml" ContentType="application/vnd.openxmlformats-officedocument.drawing+xml"/>
  <Override PartName="/xl/comments13.xml" ContentType="application/vnd.openxmlformats-officedocument.spreadsheetml.comments+xml"/>
  <Override PartName="/xl/drawings/drawing14.xml" ContentType="application/vnd.openxmlformats-officedocument.drawing+xml"/>
  <Override PartName="/xl/comments1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tropicalfruitexportsa-my.sharepoint.com/personal/croman_tropicalfruitexport_com/Documents/FUNCIONES 2025/FINANCIERO/CONTABILIDAD/"/>
    </mc:Choice>
  </mc:AlternateContent>
  <xr:revisionPtr revIDLastSave="45" documentId="13_ncr:1_{B45E0081-91AD-4CCA-8E41-4E4650DA1380}" xr6:coauthVersionLast="47" xr6:coauthVersionMax="47" xr10:uidLastSave="{052ACB61-94A8-4944-B48C-00D2FF7CF109}"/>
  <bookViews>
    <workbookView xWindow="-108" yWindow="-108" windowWidth="23256" windowHeight="13896" activeTab="2" xr2:uid="{6463E51F-8750-4E07-B234-62C7AEB7BD04}"/>
  </bookViews>
  <sheets>
    <sheet name="CARGO 1" sheetId="8" r:id="rId1"/>
    <sheet name="Cesar Guato" sheetId="7" r:id="rId2"/>
    <sheet name="Shirley Lucín" sheetId="9" r:id="rId3"/>
    <sheet name="Geraldine Naula" sheetId="10" r:id="rId4"/>
    <sheet name="Andrea Bowen" sheetId="11" r:id="rId5"/>
    <sheet name="Marly Villamar" sheetId="12" r:id="rId6"/>
    <sheet name="Heidy Alvarado" sheetId="13" r:id="rId7"/>
    <sheet name="Gissela Villegas" sheetId="15" r:id="rId8"/>
    <sheet name="Andrea Miño" sheetId="16" r:id="rId9"/>
    <sheet name="Gabriel Jurado" sheetId="17" r:id="rId10"/>
    <sheet name="CARGO 11" sheetId="18" state="hidden" r:id="rId11"/>
    <sheet name="Melanie Miranda" sheetId="19" r:id="rId12"/>
    <sheet name="Melanie Villa" sheetId="20" r:id="rId13"/>
    <sheet name="CARGO 14" sheetId="21" r:id="rId14"/>
    <sheet name="Hoja3" sheetId="4" state="hidden" r:id="rId15"/>
    <sheet name="Hoja1" sheetId="2" state="hidden" r:id="rId16"/>
  </sheets>
  <definedNames>
    <definedName name="_xlnm._FilterDatabase" localSheetId="4" hidden="1">'Andrea Bowen'!$A$11:$H$35</definedName>
    <definedName name="_xlnm._FilterDatabase" localSheetId="8" hidden="1">'Andrea Miño'!$A$11:$H$11</definedName>
    <definedName name="_xlnm._FilterDatabase" localSheetId="1" hidden="1">'Cesar Guato'!$A$11:$H$11</definedName>
    <definedName name="_xlnm._FilterDatabase" localSheetId="7" hidden="1">'Gissela Villegas'!$A$11:$H$11</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4" i="8" l="1"/>
  <c r="A35" i="8" s="1"/>
  <c r="A36" i="8" s="1"/>
  <c r="A37" i="8" s="1"/>
  <c r="A38" i="8" s="1"/>
  <c r="A39" i="8" s="1"/>
  <c r="A40" i="8" s="1"/>
  <c r="A33" i="8"/>
  <c r="E8" i="15"/>
  <c r="E8" i="7"/>
  <c r="E8" i="13"/>
  <c r="E8" i="12"/>
  <c r="E8" i="9"/>
  <c r="E8" i="16"/>
  <c r="E8" i="10"/>
  <c r="E8" i="11"/>
  <c r="E9" i="8"/>
  <c r="A13" i="8"/>
  <c r="A14" i="8" s="1"/>
  <c r="A15" i="8" s="1"/>
  <c r="A16" i="8" s="1"/>
  <c r="A17" i="8" s="1"/>
  <c r="A18" i="8" s="1"/>
  <c r="A19" i="8" s="1"/>
  <c r="A20" i="8" s="1"/>
  <c r="A21" i="8" s="1"/>
  <c r="A22" i="8" s="1"/>
  <c r="A23" i="8" s="1"/>
  <c r="A24" i="8" s="1"/>
  <c r="A25" i="8" s="1"/>
  <c r="A26" i="8" s="1"/>
  <c r="A27" i="8" s="1"/>
  <c r="A28" i="8" s="1"/>
  <c r="A29" i="8" s="1"/>
  <c r="A30" i="8" s="1"/>
  <c r="A31" i="8" l="1"/>
  <c r="A32"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Génesis Daza</author>
  </authors>
  <commentList>
    <comment ref="B11" authorId="0" shapeId="0" xr:uid="{4BB2303F-FD48-435A-9E39-DF63DF544BD3}">
      <text>
        <r>
          <rPr>
            <b/>
            <sz val="9"/>
            <color indexed="81"/>
            <rFont val="Tahoma"/>
            <family val="2"/>
          </rPr>
          <t>Génesis Daza:</t>
        </r>
        <r>
          <rPr>
            <sz val="9"/>
            <color indexed="81"/>
            <rFont val="Tahoma"/>
            <family val="2"/>
          </rPr>
          <t xml:space="preserve">
Función general</t>
        </r>
      </text>
    </comment>
    <comment ref="C11" authorId="0" shapeId="0" xr:uid="{D736F9E6-9CD6-435D-A97B-DC99381B8956}">
      <text>
        <r>
          <rPr>
            <b/>
            <sz val="9"/>
            <color indexed="81"/>
            <rFont val="Tahoma"/>
            <family val="2"/>
          </rPr>
          <t>Génesis Daza:</t>
        </r>
        <r>
          <rPr>
            <sz val="9"/>
            <color indexed="81"/>
            <rFont val="Tahoma"/>
            <family val="2"/>
          </rPr>
          <t xml:space="preserve">
Acciones específicas de acuerdo a la función general</t>
        </r>
      </text>
    </comment>
    <comment ref="D11" authorId="0" shapeId="0" xr:uid="{64DD3C96-73E2-46B6-B6D3-176B9020C4C4}">
      <text>
        <r>
          <rPr>
            <b/>
            <sz val="9"/>
            <color indexed="81"/>
            <rFont val="Tahoma"/>
            <family val="2"/>
          </rPr>
          <t>Génesis Daza:</t>
        </r>
        <r>
          <rPr>
            <sz val="9"/>
            <color indexed="81"/>
            <rFont val="Tahoma"/>
            <family val="2"/>
          </rPr>
          <t xml:space="preserve">
Diaria
Semanal
Quincenal
Mensual
Semestral
Anual</t>
        </r>
      </text>
    </comment>
    <comment ref="E11" authorId="0" shapeId="0" xr:uid="{64C68835-03E5-4DAF-81CB-562D9F8FAFF9}">
      <text>
        <r>
          <rPr>
            <b/>
            <sz val="9"/>
            <color indexed="81"/>
            <rFont val="Tahoma"/>
            <family val="2"/>
          </rPr>
          <t>Génesis Daza:</t>
        </r>
        <r>
          <rPr>
            <sz val="9"/>
            <color indexed="81"/>
            <rFont val="Tahoma"/>
            <family val="2"/>
          </rPr>
          <t xml:space="preserve">
Cantidad de veces que realiza dicha actividad de acuerdo a la frecuencia. 
Por ejemplo: 5 veces al día</t>
        </r>
      </text>
    </comment>
    <comment ref="F11" authorId="0" shapeId="0" xr:uid="{9488A6B7-F619-4743-AFA6-2F5BBD958ABF}">
      <text>
        <r>
          <rPr>
            <b/>
            <sz val="9"/>
            <color indexed="81"/>
            <rFont val="Tahoma"/>
            <family val="2"/>
          </rPr>
          <t>Génesis Daza:</t>
        </r>
        <r>
          <rPr>
            <sz val="9"/>
            <color indexed="81"/>
            <rFont val="Tahoma"/>
            <family val="2"/>
          </rPr>
          <t xml:space="preserve">
Área/Dpto relacionado</t>
        </r>
      </text>
    </comment>
    <comment ref="G11" authorId="0" shapeId="0" xr:uid="{3FA7A7BD-4E2F-436B-A9B6-86BBA32D357E}">
      <text>
        <r>
          <rPr>
            <b/>
            <sz val="9"/>
            <color indexed="81"/>
            <rFont val="Tahoma"/>
            <family val="2"/>
          </rPr>
          <t>Génesis Daza:</t>
        </r>
        <r>
          <rPr>
            <sz val="9"/>
            <color indexed="81"/>
            <rFont val="Tahoma"/>
            <family val="2"/>
          </rPr>
          <t xml:space="preserve">
Sistema
Software
(Odoo, Evolution, otros)
Matriz Excel</t>
        </r>
      </text>
    </comment>
    <comment ref="H11" authorId="0" shapeId="0" xr:uid="{D0FC6982-2546-4B13-84DC-8AA91BC23383}">
      <text>
        <r>
          <rPr>
            <b/>
            <sz val="9"/>
            <color indexed="81"/>
            <rFont val="Tahoma"/>
            <family val="2"/>
          </rPr>
          <t>Génesis Daza:</t>
        </r>
        <r>
          <rPr>
            <sz val="9"/>
            <color indexed="81"/>
            <rFont val="Tahoma"/>
            <family val="2"/>
          </rPr>
          <t xml:space="preserve">
Links de páginas web si lo requiere
Escritorio (PC)
Físico (archivo)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Génesis Daza</author>
  </authors>
  <commentList>
    <comment ref="B11" authorId="0" shapeId="0" xr:uid="{AE2D8FFF-7D48-4C89-A3BA-93C65E0EF17A}">
      <text>
        <r>
          <rPr>
            <b/>
            <sz val="9"/>
            <color indexed="81"/>
            <rFont val="Tahoma"/>
            <family val="2"/>
          </rPr>
          <t>Génesis Daza:</t>
        </r>
        <r>
          <rPr>
            <sz val="9"/>
            <color indexed="81"/>
            <rFont val="Tahoma"/>
            <family val="2"/>
          </rPr>
          <t xml:space="preserve">
Función general</t>
        </r>
      </text>
    </comment>
    <comment ref="C11" authorId="0" shapeId="0" xr:uid="{EE8B78C0-AB60-41FA-93BE-AF475F95254C}">
      <text>
        <r>
          <rPr>
            <b/>
            <sz val="9"/>
            <color indexed="81"/>
            <rFont val="Tahoma"/>
            <family val="2"/>
          </rPr>
          <t>Génesis Daza:</t>
        </r>
        <r>
          <rPr>
            <sz val="9"/>
            <color indexed="81"/>
            <rFont val="Tahoma"/>
            <family val="2"/>
          </rPr>
          <t xml:space="preserve">
Acciones específicas de acuerdo a la función general</t>
        </r>
      </text>
    </comment>
    <comment ref="D11" authorId="0" shapeId="0" xr:uid="{5B23A4F2-D09C-4C05-B48B-2317E0913460}">
      <text>
        <r>
          <rPr>
            <b/>
            <sz val="9"/>
            <color indexed="81"/>
            <rFont val="Tahoma"/>
            <family val="2"/>
          </rPr>
          <t>Génesis Daza:</t>
        </r>
        <r>
          <rPr>
            <sz val="9"/>
            <color indexed="81"/>
            <rFont val="Tahoma"/>
            <family val="2"/>
          </rPr>
          <t xml:space="preserve">
Diaria
Semanal
Quincenal
Mensual
Semestral
Anual</t>
        </r>
      </text>
    </comment>
    <comment ref="E11" authorId="0" shapeId="0" xr:uid="{9BFE8C72-7D58-4010-9211-73B18CAAA504}">
      <text>
        <r>
          <rPr>
            <b/>
            <sz val="9"/>
            <color indexed="81"/>
            <rFont val="Tahoma"/>
            <family val="2"/>
          </rPr>
          <t>Génesis Daza:</t>
        </r>
        <r>
          <rPr>
            <sz val="9"/>
            <color indexed="81"/>
            <rFont val="Tahoma"/>
            <family val="2"/>
          </rPr>
          <t xml:space="preserve">
Cantidad de veces que realiza dicha actividad de acuerdo a la frecuencia. 
Por ejemplo: 5 veces al día</t>
        </r>
      </text>
    </comment>
    <comment ref="F11" authorId="0" shapeId="0" xr:uid="{2F57C517-1752-4B12-AB88-A07D786BC712}">
      <text>
        <r>
          <rPr>
            <b/>
            <sz val="9"/>
            <color indexed="81"/>
            <rFont val="Tahoma"/>
            <family val="2"/>
          </rPr>
          <t>Génesis Daza:</t>
        </r>
        <r>
          <rPr>
            <sz val="9"/>
            <color indexed="81"/>
            <rFont val="Tahoma"/>
            <family val="2"/>
          </rPr>
          <t xml:space="preserve">
Área/Dpto relacionado</t>
        </r>
      </text>
    </comment>
    <comment ref="G11" authorId="0" shapeId="0" xr:uid="{245E9ABC-CACE-41DF-B3C7-15F001C008E1}">
      <text>
        <r>
          <rPr>
            <b/>
            <sz val="9"/>
            <color indexed="81"/>
            <rFont val="Tahoma"/>
            <family val="2"/>
          </rPr>
          <t>Génesis Daza:</t>
        </r>
        <r>
          <rPr>
            <sz val="9"/>
            <color indexed="81"/>
            <rFont val="Tahoma"/>
            <family val="2"/>
          </rPr>
          <t xml:space="preserve">
Sistema
Software
(Odoo, Evolution, otros)
Matriz Excel</t>
        </r>
      </text>
    </comment>
    <comment ref="H11" authorId="0" shapeId="0" xr:uid="{F214527F-6B4A-45BC-9FB4-9A03CFF6A4F4}">
      <text>
        <r>
          <rPr>
            <b/>
            <sz val="9"/>
            <color indexed="81"/>
            <rFont val="Tahoma"/>
            <family val="2"/>
          </rPr>
          <t>Génesis Daza:</t>
        </r>
        <r>
          <rPr>
            <sz val="9"/>
            <color indexed="81"/>
            <rFont val="Tahoma"/>
            <family val="2"/>
          </rPr>
          <t xml:space="preserve">
Links de páginas web si lo requiere
Escritorio (PC)
Físico (archivo)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Génesis Daza</author>
  </authors>
  <commentList>
    <comment ref="B11" authorId="0" shapeId="0" xr:uid="{D1928D4D-60B6-4864-BF1F-011FE8D44EF7}">
      <text>
        <r>
          <rPr>
            <b/>
            <sz val="9"/>
            <color indexed="81"/>
            <rFont val="Tahoma"/>
            <family val="2"/>
          </rPr>
          <t>Génesis Daza:</t>
        </r>
        <r>
          <rPr>
            <sz val="9"/>
            <color indexed="81"/>
            <rFont val="Tahoma"/>
            <family val="2"/>
          </rPr>
          <t xml:space="preserve">
Función general</t>
        </r>
      </text>
    </comment>
    <comment ref="C11" authorId="0" shapeId="0" xr:uid="{83D0C4A9-FFDB-463C-9496-711352493EA0}">
      <text>
        <r>
          <rPr>
            <b/>
            <sz val="9"/>
            <color indexed="81"/>
            <rFont val="Tahoma"/>
            <family val="2"/>
          </rPr>
          <t>Génesis Daza:</t>
        </r>
        <r>
          <rPr>
            <sz val="9"/>
            <color indexed="81"/>
            <rFont val="Tahoma"/>
            <family val="2"/>
          </rPr>
          <t xml:space="preserve">
Acciones específicas de acuerdo a la función general</t>
        </r>
      </text>
    </comment>
    <comment ref="D11" authorId="0" shapeId="0" xr:uid="{5617D40F-1259-44B2-933A-2CE8B85AD2B6}">
      <text>
        <r>
          <rPr>
            <b/>
            <sz val="9"/>
            <color indexed="81"/>
            <rFont val="Tahoma"/>
            <family val="2"/>
          </rPr>
          <t>Génesis Daza:</t>
        </r>
        <r>
          <rPr>
            <sz val="9"/>
            <color indexed="81"/>
            <rFont val="Tahoma"/>
            <family val="2"/>
          </rPr>
          <t xml:space="preserve">
Diaria
Semanal
Quincenal
Mensual
Semestral
Anual</t>
        </r>
      </text>
    </comment>
    <comment ref="E11" authorId="0" shapeId="0" xr:uid="{52976EC8-71F1-44F5-AD23-5E1487CB7E29}">
      <text>
        <r>
          <rPr>
            <b/>
            <sz val="9"/>
            <color indexed="81"/>
            <rFont val="Tahoma"/>
            <family val="2"/>
          </rPr>
          <t>Génesis Daza:</t>
        </r>
        <r>
          <rPr>
            <sz val="9"/>
            <color indexed="81"/>
            <rFont val="Tahoma"/>
            <family val="2"/>
          </rPr>
          <t xml:space="preserve">
Cantidad de veces que realiza dicha actividad de acuerdo a la frecuencia. 
Por ejemplo: 5 veces al día</t>
        </r>
      </text>
    </comment>
    <comment ref="F11" authorId="0" shapeId="0" xr:uid="{B529969A-7E93-42C7-A8E3-869E3504B06F}">
      <text>
        <r>
          <rPr>
            <b/>
            <sz val="9"/>
            <color indexed="81"/>
            <rFont val="Tahoma"/>
            <family val="2"/>
          </rPr>
          <t>Génesis Daza:</t>
        </r>
        <r>
          <rPr>
            <sz val="9"/>
            <color indexed="81"/>
            <rFont val="Tahoma"/>
            <family val="2"/>
          </rPr>
          <t xml:space="preserve">
Área/Dpto relacionado</t>
        </r>
      </text>
    </comment>
    <comment ref="G11" authorId="0" shapeId="0" xr:uid="{939C3FC9-60C9-4F82-9E81-46FC0BA649B8}">
      <text>
        <r>
          <rPr>
            <b/>
            <sz val="9"/>
            <color indexed="81"/>
            <rFont val="Tahoma"/>
            <family val="2"/>
          </rPr>
          <t>Génesis Daza:</t>
        </r>
        <r>
          <rPr>
            <sz val="9"/>
            <color indexed="81"/>
            <rFont val="Tahoma"/>
            <family val="2"/>
          </rPr>
          <t xml:space="preserve">
Sistema
Software
(Odoo, Evolution, otros)
Matriz Excel</t>
        </r>
      </text>
    </comment>
    <comment ref="H11" authorId="0" shapeId="0" xr:uid="{4ECF5E52-6B99-472F-8A2D-A424010001A4}">
      <text>
        <r>
          <rPr>
            <b/>
            <sz val="9"/>
            <color indexed="81"/>
            <rFont val="Tahoma"/>
            <family val="2"/>
          </rPr>
          <t>Génesis Daza:</t>
        </r>
        <r>
          <rPr>
            <sz val="9"/>
            <color indexed="81"/>
            <rFont val="Tahoma"/>
            <family val="2"/>
          </rPr>
          <t xml:space="preserve">
Links de páginas web si lo requiere
Escritorio (PC)
Físico (archivo)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Génesis Daza</author>
  </authors>
  <commentList>
    <comment ref="B11" authorId="0" shapeId="0" xr:uid="{3B1328A1-5612-4E35-B6DD-26096F83E325}">
      <text>
        <r>
          <rPr>
            <b/>
            <sz val="9"/>
            <color indexed="81"/>
            <rFont val="Tahoma"/>
            <family val="2"/>
          </rPr>
          <t>Génesis Daza:</t>
        </r>
        <r>
          <rPr>
            <sz val="9"/>
            <color indexed="81"/>
            <rFont val="Tahoma"/>
            <family val="2"/>
          </rPr>
          <t xml:space="preserve">
Función general</t>
        </r>
      </text>
    </comment>
    <comment ref="C11" authorId="0" shapeId="0" xr:uid="{0E13DC87-B8A6-48AA-A92D-96508DE4F212}">
      <text>
        <r>
          <rPr>
            <b/>
            <sz val="9"/>
            <color indexed="81"/>
            <rFont val="Tahoma"/>
            <family val="2"/>
          </rPr>
          <t>Génesis Daza:</t>
        </r>
        <r>
          <rPr>
            <sz val="9"/>
            <color indexed="81"/>
            <rFont val="Tahoma"/>
            <family val="2"/>
          </rPr>
          <t xml:space="preserve">
Acciones específicas de acuerdo a la función general</t>
        </r>
      </text>
    </comment>
    <comment ref="D11" authorId="0" shapeId="0" xr:uid="{82C9A80F-60F9-42FD-9C0A-D46BE9F3F8B0}">
      <text>
        <r>
          <rPr>
            <b/>
            <sz val="9"/>
            <color indexed="81"/>
            <rFont val="Tahoma"/>
            <family val="2"/>
          </rPr>
          <t>Génesis Daza:</t>
        </r>
        <r>
          <rPr>
            <sz val="9"/>
            <color indexed="81"/>
            <rFont val="Tahoma"/>
            <family val="2"/>
          </rPr>
          <t xml:space="preserve">
Diaria
Semanal
Quincenal
Mensual
Semestral
Anual</t>
        </r>
      </text>
    </comment>
    <comment ref="E11" authorId="0" shapeId="0" xr:uid="{48E70639-DF86-452F-BA18-5BB88ED5F427}">
      <text>
        <r>
          <rPr>
            <b/>
            <sz val="9"/>
            <color indexed="81"/>
            <rFont val="Tahoma"/>
            <family val="2"/>
          </rPr>
          <t>Génesis Daza:</t>
        </r>
        <r>
          <rPr>
            <sz val="9"/>
            <color indexed="81"/>
            <rFont val="Tahoma"/>
            <family val="2"/>
          </rPr>
          <t xml:space="preserve">
Cantidad de veces que realiza dicha actividad de acuerdo a la frecuencia. 
Por ejemplo: 5 veces al día</t>
        </r>
      </text>
    </comment>
    <comment ref="F11" authorId="0" shapeId="0" xr:uid="{AE6DB18F-43F9-409F-8ED1-560C04D306C8}">
      <text>
        <r>
          <rPr>
            <b/>
            <sz val="9"/>
            <color indexed="81"/>
            <rFont val="Tahoma"/>
            <family val="2"/>
          </rPr>
          <t>Génesis Daza:</t>
        </r>
        <r>
          <rPr>
            <sz val="9"/>
            <color indexed="81"/>
            <rFont val="Tahoma"/>
            <family val="2"/>
          </rPr>
          <t xml:space="preserve">
Área/Dpto relacionado</t>
        </r>
      </text>
    </comment>
    <comment ref="G11" authorId="0" shapeId="0" xr:uid="{3C28E9B7-F549-4C3A-89F3-819B0E799115}">
      <text>
        <r>
          <rPr>
            <b/>
            <sz val="9"/>
            <color indexed="81"/>
            <rFont val="Tahoma"/>
            <family val="2"/>
          </rPr>
          <t>Génesis Daza:</t>
        </r>
        <r>
          <rPr>
            <sz val="9"/>
            <color indexed="81"/>
            <rFont val="Tahoma"/>
            <family val="2"/>
          </rPr>
          <t xml:space="preserve">
Sistema
Software
(Odoo, Evolution, otros)
Matriz Excel</t>
        </r>
      </text>
    </comment>
    <comment ref="H11" authorId="0" shapeId="0" xr:uid="{7ED1386C-67C5-483F-B3EB-AADE5E19E18F}">
      <text>
        <r>
          <rPr>
            <b/>
            <sz val="9"/>
            <color indexed="81"/>
            <rFont val="Tahoma"/>
            <family val="2"/>
          </rPr>
          <t>Génesis Daza:</t>
        </r>
        <r>
          <rPr>
            <sz val="9"/>
            <color indexed="81"/>
            <rFont val="Tahoma"/>
            <family val="2"/>
          </rPr>
          <t xml:space="preserve">
Links de páginas web si lo requiere
Escritorio (PC)
Físico (archivo)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Génesis Daza</author>
  </authors>
  <commentList>
    <comment ref="B11" authorId="0" shapeId="0" xr:uid="{A16F6BD1-0200-41CA-A0BA-BDFAF11AF55D}">
      <text>
        <r>
          <rPr>
            <b/>
            <sz val="9"/>
            <color indexed="81"/>
            <rFont val="Tahoma"/>
            <family val="2"/>
          </rPr>
          <t>Génesis Daza:</t>
        </r>
        <r>
          <rPr>
            <sz val="9"/>
            <color indexed="81"/>
            <rFont val="Tahoma"/>
            <family val="2"/>
          </rPr>
          <t xml:space="preserve">
Función general</t>
        </r>
      </text>
    </comment>
    <comment ref="C11" authorId="0" shapeId="0" xr:uid="{CCB89008-D408-4CAC-A0FA-04A30933AE33}">
      <text>
        <r>
          <rPr>
            <b/>
            <sz val="9"/>
            <color indexed="81"/>
            <rFont val="Tahoma"/>
            <family val="2"/>
          </rPr>
          <t>Génesis Daza:</t>
        </r>
        <r>
          <rPr>
            <sz val="9"/>
            <color indexed="81"/>
            <rFont val="Tahoma"/>
            <family val="2"/>
          </rPr>
          <t xml:space="preserve">
Acciones específicas de acuerdo a la función general</t>
        </r>
      </text>
    </comment>
    <comment ref="D11" authorId="0" shapeId="0" xr:uid="{72F237D5-A202-4337-B71B-87196A53468E}">
      <text>
        <r>
          <rPr>
            <b/>
            <sz val="9"/>
            <color indexed="81"/>
            <rFont val="Tahoma"/>
            <family val="2"/>
          </rPr>
          <t>Génesis Daza:</t>
        </r>
        <r>
          <rPr>
            <sz val="9"/>
            <color indexed="81"/>
            <rFont val="Tahoma"/>
            <family val="2"/>
          </rPr>
          <t xml:space="preserve">
Diaria
Semanal
Quincenal
Mensual
Semestral
Anual</t>
        </r>
      </text>
    </comment>
    <comment ref="E11" authorId="0" shapeId="0" xr:uid="{60533773-8069-4C9C-882B-F585B2343EA7}">
      <text>
        <r>
          <rPr>
            <b/>
            <sz val="9"/>
            <color indexed="81"/>
            <rFont val="Tahoma"/>
            <family val="2"/>
          </rPr>
          <t>Génesis Daza:</t>
        </r>
        <r>
          <rPr>
            <sz val="9"/>
            <color indexed="81"/>
            <rFont val="Tahoma"/>
            <family val="2"/>
          </rPr>
          <t xml:space="preserve">
Cantidad de veces que realiza dicha actividad de acuerdo a la frecuencia. 
Por ejemplo: 5 veces al día</t>
        </r>
      </text>
    </comment>
    <comment ref="F11" authorId="0" shapeId="0" xr:uid="{67928BCF-AA77-4F04-990D-D0E5787B3CB3}">
      <text>
        <r>
          <rPr>
            <b/>
            <sz val="9"/>
            <color indexed="81"/>
            <rFont val="Tahoma"/>
            <family val="2"/>
          </rPr>
          <t>Génesis Daza:</t>
        </r>
        <r>
          <rPr>
            <sz val="9"/>
            <color indexed="81"/>
            <rFont val="Tahoma"/>
            <family val="2"/>
          </rPr>
          <t xml:space="preserve">
Área/Dpto relacionado</t>
        </r>
      </text>
    </comment>
    <comment ref="G11" authorId="0" shapeId="0" xr:uid="{E89F3EFE-3ECB-4F7D-B355-FA304B4CC7B4}">
      <text>
        <r>
          <rPr>
            <b/>
            <sz val="9"/>
            <color indexed="81"/>
            <rFont val="Tahoma"/>
            <family val="2"/>
          </rPr>
          <t>Génesis Daza:</t>
        </r>
        <r>
          <rPr>
            <sz val="9"/>
            <color indexed="81"/>
            <rFont val="Tahoma"/>
            <family val="2"/>
          </rPr>
          <t xml:space="preserve">
Sistema
Software
(Odoo, Evolution, otros)
Matriz Excel</t>
        </r>
      </text>
    </comment>
    <comment ref="H11" authorId="0" shapeId="0" xr:uid="{A73EC265-B6F9-4DFD-ACE6-FC8711A0DB82}">
      <text>
        <r>
          <rPr>
            <b/>
            <sz val="9"/>
            <color indexed="81"/>
            <rFont val="Tahoma"/>
            <family val="2"/>
          </rPr>
          <t>Génesis Daza:</t>
        </r>
        <r>
          <rPr>
            <sz val="9"/>
            <color indexed="81"/>
            <rFont val="Tahoma"/>
            <family val="2"/>
          </rPr>
          <t xml:space="preserve">
Links de páginas web si lo requiere
Escritorio (PC)
Físico (archivo)</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Génesis Daza</author>
  </authors>
  <commentList>
    <comment ref="B11" authorId="0" shapeId="0" xr:uid="{585B8C7A-166C-4DD6-B55B-B6758154EAE4}">
      <text>
        <r>
          <rPr>
            <b/>
            <sz val="9"/>
            <color indexed="81"/>
            <rFont val="Tahoma"/>
            <family val="2"/>
          </rPr>
          <t>Génesis Daza:</t>
        </r>
        <r>
          <rPr>
            <sz val="9"/>
            <color indexed="81"/>
            <rFont val="Tahoma"/>
            <family val="2"/>
          </rPr>
          <t xml:space="preserve">
Función general</t>
        </r>
      </text>
    </comment>
    <comment ref="C11" authorId="0" shapeId="0" xr:uid="{988D4C2F-DFC6-45EB-A55C-5559BFD06F23}">
      <text>
        <r>
          <rPr>
            <b/>
            <sz val="9"/>
            <color indexed="81"/>
            <rFont val="Tahoma"/>
            <family val="2"/>
          </rPr>
          <t>Génesis Daza:</t>
        </r>
        <r>
          <rPr>
            <sz val="9"/>
            <color indexed="81"/>
            <rFont val="Tahoma"/>
            <family val="2"/>
          </rPr>
          <t xml:space="preserve">
Acciones específicas de acuerdo a la función general</t>
        </r>
      </text>
    </comment>
    <comment ref="D11" authorId="0" shapeId="0" xr:uid="{AAC58315-F534-4F1C-A1A9-D82951DD53D3}">
      <text>
        <r>
          <rPr>
            <b/>
            <sz val="9"/>
            <color indexed="81"/>
            <rFont val="Tahoma"/>
            <family val="2"/>
          </rPr>
          <t>Génesis Daza:</t>
        </r>
        <r>
          <rPr>
            <sz val="9"/>
            <color indexed="81"/>
            <rFont val="Tahoma"/>
            <family val="2"/>
          </rPr>
          <t xml:space="preserve">
Diaria
Semanal
Quincenal
Mensual
Semestral
Anual</t>
        </r>
      </text>
    </comment>
    <comment ref="E11" authorId="0" shapeId="0" xr:uid="{B1EB3663-FFB1-484F-A3EC-679470E355CE}">
      <text>
        <r>
          <rPr>
            <b/>
            <sz val="9"/>
            <color indexed="81"/>
            <rFont val="Tahoma"/>
            <family val="2"/>
          </rPr>
          <t>Génesis Daza:</t>
        </r>
        <r>
          <rPr>
            <sz val="9"/>
            <color indexed="81"/>
            <rFont val="Tahoma"/>
            <family val="2"/>
          </rPr>
          <t xml:space="preserve">
Cantidad de veces que realiza dicha actividad de acuerdo a la frecuencia. 
Por ejemplo: 5 veces al día</t>
        </r>
      </text>
    </comment>
    <comment ref="F11" authorId="0" shapeId="0" xr:uid="{F4FB1A70-CE5F-40D8-934C-E748DC1A3780}">
      <text>
        <r>
          <rPr>
            <b/>
            <sz val="9"/>
            <color indexed="81"/>
            <rFont val="Tahoma"/>
            <family val="2"/>
          </rPr>
          <t>Génesis Daza:</t>
        </r>
        <r>
          <rPr>
            <sz val="9"/>
            <color indexed="81"/>
            <rFont val="Tahoma"/>
            <family val="2"/>
          </rPr>
          <t xml:space="preserve">
Área/Dpto relacionado</t>
        </r>
      </text>
    </comment>
    <comment ref="G11" authorId="0" shapeId="0" xr:uid="{153A9A98-461E-4870-8606-A1CB58647E2C}">
      <text>
        <r>
          <rPr>
            <b/>
            <sz val="9"/>
            <color indexed="81"/>
            <rFont val="Tahoma"/>
            <family val="2"/>
          </rPr>
          <t>Génesis Daza:</t>
        </r>
        <r>
          <rPr>
            <sz val="9"/>
            <color indexed="81"/>
            <rFont val="Tahoma"/>
            <family val="2"/>
          </rPr>
          <t xml:space="preserve">
Sistema
Software
(Odoo, Evolution, otros)
Matriz Excel</t>
        </r>
      </text>
    </comment>
    <comment ref="H11" authorId="0" shapeId="0" xr:uid="{7E7C3773-2EE4-4096-B34D-22979B947DB7}">
      <text>
        <r>
          <rPr>
            <b/>
            <sz val="9"/>
            <color indexed="81"/>
            <rFont val="Tahoma"/>
            <family val="2"/>
          </rPr>
          <t>Génesis Daza:</t>
        </r>
        <r>
          <rPr>
            <sz val="9"/>
            <color indexed="81"/>
            <rFont val="Tahoma"/>
            <family val="2"/>
          </rPr>
          <t xml:space="preserve">
Links de páginas web si lo requiere
Escritorio (PC)
Físico (archivo)</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Génesis Daza</author>
  </authors>
  <commentList>
    <comment ref="B11" authorId="0" shapeId="0" xr:uid="{05BD367F-73DA-467E-8D69-62C4880C4C0E}">
      <text>
        <r>
          <rPr>
            <b/>
            <sz val="9"/>
            <color indexed="81"/>
            <rFont val="Tahoma"/>
            <family val="2"/>
          </rPr>
          <t>Génesis Daza:</t>
        </r>
        <r>
          <rPr>
            <sz val="9"/>
            <color indexed="81"/>
            <rFont val="Tahoma"/>
            <family val="2"/>
          </rPr>
          <t xml:space="preserve">
Función general</t>
        </r>
      </text>
    </comment>
    <comment ref="C11" authorId="0" shapeId="0" xr:uid="{C0A237B0-8767-4432-9177-857150CD7E63}">
      <text>
        <r>
          <rPr>
            <b/>
            <sz val="9"/>
            <color indexed="81"/>
            <rFont val="Tahoma"/>
            <family val="2"/>
          </rPr>
          <t>Génesis Daza:</t>
        </r>
        <r>
          <rPr>
            <sz val="9"/>
            <color indexed="81"/>
            <rFont val="Tahoma"/>
            <family val="2"/>
          </rPr>
          <t xml:space="preserve">
Acciones específicas de acuerdo a la función general</t>
        </r>
      </text>
    </comment>
    <comment ref="D11" authorId="0" shapeId="0" xr:uid="{F33C4F21-9A2B-4AC7-98DA-3E718681181C}">
      <text>
        <r>
          <rPr>
            <b/>
            <sz val="9"/>
            <color indexed="81"/>
            <rFont val="Tahoma"/>
            <family val="2"/>
          </rPr>
          <t>Génesis Daza:</t>
        </r>
        <r>
          <rPr>
            <sz val="9"/>
            <color indexed="81"/>
            <rFont val="Tahoma"/>
            <family val="2"/>
          </rPr>
          <t xml:space="preserve">
Diaria
Semanal
Quincenal
Mensual
Semestral
Anual</t>
        </r>
      </text>
    </comment>
    <comment ref="E11" authorId="0" shapeId="0" xr:uid="{A1D77AA2-F4DC-44CD-A085-FC0AC2BCE75B}">
      <text>
        <r>
          <rPr>
            <b/>
            <sz val="9"/>
            <color indexed="81"/>
            <rFont val="Tahoma"/>
            <family val="2"/>
          </rPr>
          <t>Génesis Daza:</t>
        </r>
        <r>
          <rPr>
            <sz val="9"/>
            <color indexed="81"/>
            <rFont val="Tahoma"/>
            <family val="2"/>
          </rPr>
          <t xml:space="preserve">
Cantidad de veces que realiza dicha actividad de acuerdo a la frecuencia. 
Por ejemplo: 5 veces al día</t>
        </r>
      </text>
    </comment>
    <comment ref="F11" authorId="0" shapeId="0" xr:uid="{0C52AABF-0C21-47AC-946C-888459F2B64A}">
      <text>
        <r>
          <rPr>
            <b/>
            <sz val="9"/>
            <color indexed="81"/>
            <rFont val="Tahoma"/>
            <family val="2"/>
          </rPr>
          <t>Génesis Daza:</t>
        </r>
        <r>
          <rPr>
            <sz val="9"/>
            <color indexed="81"/>
            <rFont val="Tahoma"/>
            <family val="2"/>
          </rPr>
          <t xml:space="preserve">
Área/Dpto relacionado</t>
        </r>
      </text>
    </comment>
    <comment ref="G11" authorId="0" shapeId="0" xr:uid="{DA611770-214B-4808-98AB-42408EA296F7}">
      <text>
        <r>
          <rPr>
            <b/>
            <sz val="9"/>
            <color indexed="81"/>
            <rFont val="Tahoma"/>
            <family val="2"/>
          </rPr>
          <t>Génesis Daza:</t>
        </r>
        <r>
          <rPr>
            <sz val="9"/>
            <color indexed="81"/>
            <rFont val="Tahoma"/>
            <family val="2"/>
          </rPr>
          <t xml:space="preserve">
Sistema
Software
(Odoo, Evolution, otros)
Matriz Excel</t>
        </r>
      </text>
    </comment>
    <comment ref="H11" authorId="0" shapeId="0" xr:uid="{40BE1A45-4FF4-4759-B62A-F807C982D331}">
      <text>
        <r>
          <rPr>
            <b/>
            <sz val="9"/>
            <color indexed="81"/>
            <rFont val="Tahoma"/>
            <family val="2"/>
          </rPr>
          <t>Génesis Daza:</t>
        </r>
        <r>
          <rPr>
            <sz val="9"/>
            <color indexed="81"/>
            <rFont val="Tahoma"/>
            <family val="2"/>
          </rPr>
          <t xml:space="preserve">
Links de páginas web si lo requiere
Escritorio (PC)
Físico (archivo)</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Génesis Daza</author>
  </authors>
  <commentList>
    <comment ref="B11" authorId="0" shapeId="0" xr:uid="{17BCDE26-37FE-4EEF-8BE1-05BCCDEF0EA2}">
      <text>
        <r>
          <rPr>
            <b/>
            <sz val="9"/>
            <color indexed="81"/>
            <rFont val="Tahoma"/>
            <family val="2"/>
          </rPr>
          <t>Génesis Daza:</t>
        </r>
        <r>
          <rPr>
            <sz val="9"/>
            <color indexed="81"/>
            <rFont val="Tahoma"/>
            <family val="2"/>
          </rPr>
          <t xml:space="preserve">
Función general</t>
        </r>
      </text>
    </comment>
    <comment ref="C11" authorId="0" shapeId="0" xr:uid="{2E9A7F84-1B9F-41F9-8537-95648506D4C4}">
      <text>
        <r>
          <rPr>
            <b/>
            <sz val="9"/>
            <color indexed="81"/>
            <rFont val="Tahoma"/>
            <family val="2"/>
          </rPr>
          <t>Génesis Daza:</t>
        </r>
        <r>
          <rPr>
            <sz val="9"/>
            <color indexed="81"/>
            <rFont val="Tahoma"/>
            <family val="2"/>
          </rPr>
          <t xml:space="preserve">
Acciones específicas de acuerdo a la función general</t>
        </r>
      </text>
    </comment>
    <comment ref="D11" authorId="0" shapeId="0" xr:uid="{3DC1B17F-9EF9-410E-8F21-3E9320B2DBB3}">
      <text>
        <r>
          <rPr>
            <b/>
            <sz val="9"/>
            <color indexed="81"/>
            <rFont val="Tahoma"/>
            <family val="2"/>
          </rPr>
          <t>Génesis Daza:</t>
        </r>
        <r>
          <rPr>
            <sz val="9"/>
            <color indexed="81"/>
            <rFont val="Tahoma"/>
            <family val="2"/>
          </rPr>
          <t xml:space="preserve">
Diaria
Semanal
Quincenal
Mensual
Semestral
Anual</t>
        </r>
      </text>
    </comment>
    <comment ref="E11" authorId="0" shapeId="0" xr:uid="{A08CD2B0-9FE8-401C-BBCE-53B5131A94C1}">
      <text>
        <r>
          <rPr>
            <b/>
            <sz val="9"/>
            <color indexed="81"/>
            <rFont val="Tahoma"/>
            <family val="2"/>
          </rPr>
          <t>Génesis Daza:</t>
        </r>
        <r>
          <rPr>
            <sz val="9"/>
            <color indexed="81"/>
            <rFont val="Tahoma"/>
            <family val="2"/>
          </rPr>
          <t xml:space="preserve">
Cantidad de veces que realiza dicha actividad de acuerdo a la frecuencia. 
Por ejemplo: 5 veces al día</t>
        </r>
      </text>
    </comment>
    <comment ref="F11" authorId="0" shapeId="0" xr:uid="{9567765D-E1A3-4974-BB36-54A45CB63FCB}">
      <text>
        <r>
          <rPr>
            <b/>
            <sz val="9"/>
            <color indexed="81"/>
            <rFont val="Tahoma"/>
            <family val="2"/>
          </rPr>
          <t>Génesis Daza:</t>
        </r>
        <r>
          <rPr>
            <sz val="9"/>
            <color indexed="81"/>
            <rFont val="Tahoma"/>
            <family val="2"/>
          </rPr>
          <t xml:space="preserve">
Área/Dpto relacionado</t>
        </r>
      </text>
    </comment>
    <comment ref="G11" authorId="0" shapeId="0" xr:uid="{4FA3A005-93BD-459B-B45D-47692F834287}">
      <text>
        <r>
          <rPr>
            <b/>
            <sz val="9"/>
            <color indexed="81"/>
            <rFont val="Tahoma"/>
            <family val="2"/>
          </rPr>
          <t>Génesis Daza:</t>
        </r>
        <r>
          <rPr>
            <sz val="9"/>
            <color indexed="81"/>
            <rFont val="Tahoma"/>
            <family val="2"/>
          </rPr>
          <t xml:space="preserve">
Sistema
Software
(Odoo, Evolution, otros)
Matriz Excel</t>
        </r>
      </text>
    </comment>
    <comment ref="H11" authorId="0" shapeId="0" xr:uid="{4934496F-B04F-4F8F-A760-04A3E86CC976}">
      <text>
        <r>
          <rPr>
            <b/>
            <sz val="9"/>
            <color indexed="81"/>
            <rFont val="Tahoma"/>
            <family val="2"/>
          </rPr>
          <t>Génesis Daza:</t>
        </r>
        <r>
          <rPr>
            <sz val="9"/>
            <color indexed="81"/>
            <rFont val="Tahoma"/>
            <family val="2"/>
          </rPr>
          <t xml:space="preserve">
Links de páginas web si lo requiere
Escritorio (PC)
Físico (archivo)</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Génesis Daza</author>
  </authors>
  <commentList>
    <comment ref="B11" authorId="0" shapeId="0" xr:uid="{17E9FB62-70EC-46B3-99A9-9FA36D6E1DD9}">
      <text>
        <r>
          <rPr>
            <b/>
            <sz val="9"/>
            <color indexed="81"/>
            <rFont val="Tahoma"/>
            <family val="2"/>
          </rPr>
          <t>Génesis Daza:</t>
        </r>
        <r>
          <rPr>
            <sz val="9"/>
            <color indexed="81"/>
            <rFont val="Tahoma"/>
            <family val="2"/>
          </rPr>
          <t xml:space="preserve">
Función general</t>
        </r>
      </text>
    </comment>
    <comment ref="C11" authorId="0" shapeId="0" xr:uid="{C85F6ED8-4572-44FD-B8D5-C583AE9C5C1F}">
      <text>
        <r>
          <rPr>
            <b/>
            <sz val="9"/>
            <color indexed="81"/>
            <rFont val="Tahoma"/>
            <family val="2"/>
          </rPr>
          <t>Génesis Daza:</t>
        </r>
        <r>
          <rPr>
            <sz val="9"/>
            <color indexed="81"/>
            <rFont val="Tahoma"/>
            <family val="2"/>
          </rPr>
          <t xml:space="preserve">
Acciones específicas de acuerdo a la función general</t>
        </r>
      </text>
    </comment>
    <comment ref="D11" authorId="0" shapeId="0" xr:uid="{B91DE26E-563A-4376-AF68-13E03B44B658}">
      <text>
        <r>
          <rPr>
            <b/>
            <sz val="9"/>
            <color indexed="81"/>
            <rFont val="Tahoma"/>
            <family val="2"/>
          </rPr>
          <t>Génesis Daza:</t>
        </r>
        <r>
          <rPr>
            <sz val="9"/>
            <color indexed="81"/>
            <rFont val="Tahoma"/>
            <family val="2"/>
          </rPr>
          <t xml:space="preserve">
Diaria
Semanal
Quincenal
Mensual
Semestral
Anual</t>
        </r>
      </text>
    </comment>
    <comment ref="E11" authorId="0" shapeId="0" xr:uid="{8B35281A-CDD8-407E-9045-63EF9CFFEEEF}">
      <text>
        <r>
          <rPr>
            <b/>
            <sz val="9"/>
            <color indexed="81"/>
            <rFont val="Tahoma"/>
            <family val="2"/>
          </rPr>
          <t>Génesis Daza:</t>
        </r>
        <r>
          <rPr>
            <sz val="9"/>
            <color indexed="81"/>
            <rFont val="Tahoma"/>
            <family val="2"/>
          </rPr>
          <t xml:space="preserve">
Cantidad de veces que realiza dicha actividad de acuerdo a la frecuencia. 
Por ejemplo: 5 veces al día</t>
        </r>
      </text>
    </comment>
    <comment ref="F11" authorId="0" shapeId="0" xr:uid="{4A8D4128-007D-4FB0-8F9A-AAB3D3ECF847}">
      <text>
        <r>
          <rPr>
            <b/>
            <sz val="9"/>
            <color indexed="81"/>
            <rFont val="Tahoma"/>
            <family val="2"/>
          </rPr>
          <t>Génesis Daza:</t>
        </r>
        <r>
          <rPr>
            <sz val="9"/>
            <color indexed="81"/>
            <rFont val="Tahoma"/>
            <family val="2"/>
          </rPr>
          <t xml:space="preserve">
Área/Dpto relacionado</t>
        </r>
      </text>
    </comment>
    <comment ref="G11" authorId="0" shapeId="0" xr:uid="{A5CE45CA-E506-4380-85DE-FED34F3640C7}">
      <text>
        <r>
          <rPr>
            <b/>
            <sz val="9"/>
            <color indexed="81"/>
            <rFont val="Tahoma"/>
            <family val="2"/>
          </rPr>
          <t>Génesis Daza:</t>
        </r>
        <r>
          <rPr>
            <sz val="9"/>
            <color indexed="81"/>
            <rFont val="Tahoma"/>
            <family val="2"/>
          </rPr>
          <t xml:space="preserve">
Sistema
Software
(Odoo, Evolution, otros)
Matriz Excel</t>
        </r>
      </text>
    </comment>
    <comment ref="H11" authorId="0" shapeId="0" xr:uid="{1AC6CCCD-40E9-44DF-B216-BDEB3C89FC08}">
      <text>
        <r>
          <rPr>
            <b/>
            <sz val="9"/>
            <color indexed="81"/>
            <rFont val="Tahoma"/>
            <family val="2"/>
          </rPr>
          <t>Génesis Daza:</t>
        </r>
        <r>
          <rPr>
            <sz val="9"/>
            <color indexed="81"/>
            <rFont val="Tahoma"/>
            <family val="2"/>
          </rPr>
          <t xml:space="preserve">
Links de páginas web si lo requiere
Escritorio (PC)
Físico (archivo)</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Génesis Daza</author>
  </authors>
  <commentList>
    <comment ref="B11" authorId="0" shapeId="0" xr:uid="{C87E859D-BF02-4306-8ED3-E60DF3F0A634}">
      <text>
        <r>
          <rPr>
            <b/>
            <sz val="9"/>
            <color indexed="81"/>
            <rFont val="Tahoma"/>
            <family val="2"/>
          </rPr>
          <t>Génesis Daza:</t>
        </r>
        <r>
          <rPr>
            <sz val="9"/>
            <color indexed="81"/>
            <rFont val="Tahoma"/>
            <family val="2"/>
          </rPr>
          <t xml:space="preserve">
Función general</t>
        </r>
      </text>
    </comment>
    <comment ref="C11" authorId="0" shapeId="0" xr:uid="{F7611153-A7D3-4FA7-A8D8-5803A83ECADF}">
      <text>
        <r>
          <rPr>
            <b/>
            <sz val="9"/>
            <color indexed="81"/>
            <rFont val="Tahoma"/>
            <family val="2"/>
          </rPr>
          <t>Génesis Daza:</t>
        </r>
        <r>
          <rPr>
            <sz val="9"/>
            <color indexed="81"/>
            <rFont val="Tahoma"/>
            <family val="2"/>
          </rPr>
          <t xml:space="preserve">
Acciones específicas de acuerdo a la función general</t>
        </r>
      </text>
    </comment>
    <comment ref="D11" authorId="0" shapeId="0" xr:uid="{7C4F9572-CE15-4717-8DE9-1EBF82579D65}">
      <text>
        <r>
          <rPr>
            <b/>
            <sz val="9"/>
            <color indexed="81"/>
            <rFont val="Tahoma"/>
            <family val="2"/>
          </rPr>
          <t>Génesis Daza:</t>
        </r>
        <r>
          <rPr>
            <sz val="9"/>
            <color indexed="81"/>
            <rFont val="Tahoma"/>
            <family val="2"/>
          </rPr>
          <t xml:space="preserve">
Diaria
Semanal
Quincenal
Mensual
Semestral
Anual</t>
        </r>
      </text>
    </comment>
    <comment ref="E11" authorId="0" shapeId="0" xr:uid="{9498A6AF-0425-4389-8487-9489609F7D15}">
      <text>
        <r>
          <rPr>
            <b/>
            <sz val="9"/>
            <color indexed="81"/>
            <rFont val="Tahoma"/>
            <family val="2"/>
          </rPr>
          <t>Génesis Daza:</t>
        </r>
        <r>
          <rPr>
            <sz val="9"/>
            <color indexed="81"/>
            <rFont val="Tahoma"/>
            <family val="2"/>
          </rPr>
          <t xml:space="preserve">
Cantidad de veces que realiza dicha actividad de acuerdo a la frecuencia. 
Por ejemplo: 5 veces al día</t>
        </r>
      </text>
    </comment>
    <comment ref="F11" authorId="0" shapeId="0" xr:uid="{E90EB9D6-0EF0-4A7B-9E13-AFDCE838ACF1}">
      <text>
        <r>
          <rPr>
            <b/>
            <sz val="9"/>
            <color indexed="81"/>
            <rFont val="Tahoma"/>
            <family val="2"/>
          </rPr>
          <t>Génesis Daza:</t>
        </r>
        <r>
          <rPr>
            <sz val="9"/>
            <color indexed="81"/>
            <rFont val="Tahoma"/>
            <family val="2"/>
          </rPr>
          <t xml:space="preserve">
Área/Dpto relacionado</t>
        </r>
      </text>
    </comment>
    <comment ref="G11" authorId="0" shapeId="0" xr:uid="{AA498789-9C22-442A-AAEF-E69A739D9883}">
      <text>
        <r>
          <rPr>
            <b/>
            <sz val="9"/>
            <color indexed="81"/>
            <rFont val="Tahoma"/>
            <family val="2"/>
          </rPr>
          <t>Génesis Daza:</t>
        </r>
        <r>
          <rPr>
            <sz val="9"/>
            <color indexed="81"/>
            <rFont val="Tahoma"/>
            <family val="2"/>
          </rPr>
          <t xml:space="preserve">
Sistema
Software
(Odoo, Evolution, otros)
Matriz Excel</t>
        </r>
      </text>
    </comment>
    <comment ref="H11" authorId="0" shapeId="0" xr:uid="{F2CD371A-20EE-430E-947C-783A1549B30E}">
      <text>
        <r>
          <rPr>
            <b/>
            <sz val="9"/>
            <color indexed="81"/>
            <rFont val="Tahoma"/>
            <family val="2"/>
          </rPr>
          <t>Génesis Daza:</t>
        </r>
        <r>
          <rPr>
            <sz val="9"/>
            <color indexed="81"/>
            <rFont val="Tahoma"/>
            <family val="2"/>
          </rPr>
          <t xml:space="preserve">
Links de páginas web si lo requiere
Escritorio (PC)
Físico (archivo)</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Génesis Daza</author>
  </authors>
  <commentList>
    <comment ref="B11" authorId="0" shapeId="0" xr:uid="{DA65BD88-3B94-4D8F-A0DA-8E5957B124D9}">
      <text>
        <r>
          <rPr>
            <b/>
            <sz val="9"/>
            <color indexed="81"/>
            <rFont val="Tahoma"/>
            <family val="2"/>
          </rPr>
          <t>Génesis Daza:</t>
        </r>
        <r>
          <rPr>
            <sz val="9"/>
            <color indexed="81"/>
            <rFont val="Tahoma"/>
            <family val="2"/>
          </rPr>
          <t xml:space="preserve">
Función general</t>
        </r>
      </text>
    </comment>
    <comment ref="C11" authorId="0" shapeId="0" xr:uid="{8D861504-8091-4FD1-B9EB-CCDAE79A135F}">
      <text>
        <r>
          <rPr>
            <b/>
            <sz val="9"/>
            <color indexed="81"/>
            <rFont val="Tahoma"/>
            <family val="2"/>
          </rPr>
          <t>Génesis Daza:</t>
        </r>
        <r>
          <rPr>
            <sz val="9"/>
            <color indexed="81"/>
            <rFont val="Tahoma"/>
            <family val="2"/>
          </rPr>
          <t xml:space="preserve">
Acciones específicas de acuerdo a la función general</t>
        </r>
      </text>
    </comment>
    <comment ref="D11" authorId="0" shapeId="0" xr:uid="{4CB51D9D-D108-4B6C-9367-98DA4A919827}">
      <text>
        <r>
          <rPr>
            <b/>
            <sz val="9"/>
            <color indexed="81"/>
            <rFont val="Tahoma"/>
            <family val="2"/>
          </rPr>
          <t>Génesis Daza:</t>
        </r>
        <r>
          <rPr>
            <sz val="9"/>
            <color indexed="81"/>
            <rFont val="Tahoma"/>
            <family val="2"/>
          </rPr>
          <t xml:space="preserve">
Diaria
Semanal
Quincenal
Mensual
Semestral
Anual</t>
        </r>
      </text>
    </comment>
    <comment ref="E11" authorId="0" shapeId="0" xr:uid="{5647200E-1A63-46A1-91EF-BECF2CCA5DD0}">
      <text>
        <r>
          <rPr>
            <b/>
            <sz val="9"/>
            <color indexed="81"/>
            <rFont val="Tahoma"/>
            <family val="2"/>
          </rPr>
          <t>Génesis Daza:</t>
        </r>
        <r>
          <rPr>
            <sz val="9"/>
            <color indexed="81"/>
            <rFont val="Tahoma"/>
            <family val="2"/>
          </rPr>
          <t xml:space="preserve">
Cantidad de veces que realiza dicha actividad de acuerdo a la frecuencia. 
Por ejemplo: 5 veces al día</t>
        </r>
      </text>
    </comment>
    <comment ref="F11" authorId="0" shapeId="0" xr:uid="{17A34E7D-C4D8-4239-94DE-A5F94CD94578}">
      <text>
        <r>
          <rPr>
            <b/>
            <sz val="9"/>
            <color indexed="81"/>
            <rFont val="Tahoma"/>
            <family val="2"/>
          </rPr>
          <t>Génesis Daza:</t>
        </r>
        <r>
          <rPr>
            <sz val="9"/>
            <color indexed="81"/>
            <rFont val="Tahoma"/>
            <family val="2"/>
          </rPr>
          <t xml:space="preserve">
Área/Dpto relacionado</t>
        </r>
      </text>
    </comment>
    <comment ref="G11" authorId="0" shapeId="0" xr:uid="{9E99EA67-97E1-415A-8815-1D3D11218229}">
      <text>
        <r>
          <rPr>
            <b/>
            <sz val="9"/>
            <color indexed="81"/>
            <rFont val="Tahoma"/>
            <family val="2"/>
          </rPr>
          <t>Génesis Daza:</t>
        </r>
        <r>
          <rPr>
            <sz val="9"/>
            <color indexed="81"/>
            <rFont val="Tahoma"/>
            <family val="2"/>
          </rPr>
          <t xml:space="preserve">
Sistema
Software
(Odoo, Evolution, otros)
Matriz Excel</t>
        </r>
      </text>
    </comment>
    <comment ref="H11" authorId="0" shapeId="0" xr:uid="{CE5A99E6-65B1-421B-B780-9B131159A96F}">
      <text>
        <r>
          <rPr>
            <b/>
            <sz val="9"/>
            <color indexed="81"/>
            <rFont val="Tahoma"/>
            <family val="2"/>
          </rPr>
          <t>Génesis Daza:</t>
        </r>
        <r>
          <rPr>
            <sz val="9"/>
            <color indexed="81"/>
            <rFont val="Tahoma"/>
            <family val="2"/>
          </rPr>
          <t xml:space="preserve">
Links de páginas web si lo requiere
Escritorio (PC)
Físico (archivo)</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Génesis Daza</author>
  </authors>
  <commentList>
    <comment ref="B11" authorId="0" shapeId="0" xr:uid="{AB450C98-DAC6-413F-A1E2-B52CF54A78DB}">
      <text>
        <r>
          <rPr>
            <b/>
            <sz val="9"/>
            <color indexed="81"/>
            <rFont val="Tahoma"/>
            <family val="2"/>
          </rPr>
          <t>Génesis Daza:</t>
        </r>
        <r>
          <rPr>
            <sz val="9"/>
            <color indexed="81"/>
            <rFont val="Tahoma"/>
            <family val="2"/>
          </rPr>
          <t xml:space="preserve">
Función general</t>
        </r>
      </text>
    </comment>
    <comment ref="C11" authorId="0" shapeId="0" xr:uid="{DE2716B3-E5FE-4101-BDE0-93947577E24E}">
      <text>
        <r>
          <rPr>
            <b/>
            <sz val="9"/>
            <color indexed="81"/>
            <rFont val="Tahoma"/>
            <family val="2"/>
          </rPr>
          <t>Génesis Daza:</t>
        </r>
        <r>
          <rPr>
            <sz val="9"/>
            <color indexed="81"/>
            <rFont val="Tahoma"/>
            <family val="2"/>
          </rPr>
          <t xml:space="preserve">
Acciones específicas de acuerdo a la función general</t>
        </r>
      </text>
    </comment>
    <comment ref="D11" authorId="0" shapeId="0" xr:uid="{6CB4D073-E1D5-4CB5-B0B6-23559D293244}">
      <text>
        <r>
          <rPr>
            <b/>
            <sz val="9"/>
            <color indexed="81"/>
            <rFont val="Tahoma"/>
            <family val="2"/>
          </rPr>
          <t>Génesis Daza:</t>
        </r>
        <r>
          <rPr>
            <sz val="9"/>
            <color indexed="81"/>
            <rFont val="Tahoma"/>
            <family val="2"/>
          </rPr>
          <t xml:space="preserve">
Diaria
Semanal
Quincenal
Mensual
Semestral
Anual</t>
        </r>
      </text>
    </comment>
    <comment ref="E11" authorId="0" shapeId="0" xr:uid="{90D89507-9B9C-41D9-BBE8-C90B65CB10C2}">
      <text>
        <r>
          <rPr>
            <b/>
            <sz val="9"/>
            <color indexed="81"/>
            <rFont val="Tahoma"/>
            <family val="2"/>
          </rPr>
          <t>Génesis Daza:</t>
        </r>
        <r>
          <rPr>
            <sz val="9"/>
            <color indexed="81"/>
            <rFont val="Tahoma"/>
            <family val="2"/>
          </rPr>
          <t xml:space="preserve">
Cantidad de veces que realiza dicha actividad de acuerdo a la frecuencia. 
Por ejemplo: 5 veces al día</t>
        </r>
      </text>
    </comment>
    <comment ref="F11" authorId="0" shapeId="0" xr:uid="{906CC61A-98E5-4B35-9027-E8E1FF973D6A}">
      <text>
        <r>
          <rPr>
            <b/>
            <sz val="9"/>
            <color indexed="81"/>
            <rFont val="Tahoma"/>
            <family val="2"/>
          </rPr>
          <t>Génesis Daza:</t>
        </r>
        <r>
          <rPr>
            <sz val="9"/>
            <color indexed="81"/>
            <rFont val="Tahoma"/>
            <family val="2"/>
          </rPr>
          <t xml:space="preserve">
Área/Dpto relacionado</t>
        </r>
      </text>
    </comment>
    <comment ref="G11" authorId="0" shapeId="0" xr:uid="{6C51795A-AD6D-4E63-BF4B-DE7C95762F92}">
      <text>
        <r>
          <rPr>
            <b/>
            <sz val="9"/>
            <color indexed="81"/>
            <rFont val="Tahoma"/>
            <family val="2"/>
          </rPr>
          <t>Génesis Daza:</t>
        </r>
        <r>
          <rPr>
            <sz val="9"/>
            <color indexed="81"/>
            <rFont val="Tahoma"/>
            <family val="2"/>
          </rPr>
          <t xml:space="preserve">
Sistema
Software
(Odoo, Evolution, otros)
Matriz Excel</t>
        </r>
      </text>
    </comment>
    <comment ref="H11" authorId="0" shapeId="0" xr:uid="{6B5BCEA8-F63C-4FBA-A1B3-06FBCFCD067B}">
      <text>
        <r>
          <rPr>
            <b/>
            <sz val="9"/>
            <color indexed="81"/>
            <rFont val="Tahoma"/>
            <family val="2"/>
          </rPr>
          <t>Génesis Daza:</t>
        </r>
        <r>
          <rPr>
            <sz val="9"/>
            <color indexed="81"/>
            <rFont val="Tahoma"/>
            <family val="2"/>
          </rPr>
          <t xml:space="preserve">
Links de páginas web si lo requiere
Escritorio (PC)
Físico (archivo)</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Génesis Daza</author>
  </authors>
  <commentList>
    <comment ref="B11" authorId="0" shapeId="0" xr:uid="{5B293D52-F7EA-457D-A795-9FBF86E17552}">
      <text>
        <r>
          <rPr>
            <b/>
            <sz val="9"/>
            <color indexed="81"/>
            <rFont val="Tahoma"/>
            <family val="2"/>
          </rPr>
          <t>Génesis Daza:</t>
        </r>
        <r>
          <rPr>
            <sz val="9"/>
            <color indexed="81"/>
            <rFont val="Tahoma"/>
            <family val="2"/>
          </rPr>
          <t xml:space="preserve">
Función general</t>
        </r>
      </text>
    </comment>
    <comment ref="C11" authorId="0" shapeId="0" xr:uid="{BE3FCE4A-E1B9-45FE-916C-A975EF8D0043}">
      <text>
        <r>
          <rPr>
            <b/>
            <sz val="9"/>
            <color indexed="81"/>
            <rFont val="Tahoma"/>
            <family val="2"/>
          </rPr>
          <t>Génesis Daza:</t>
        </r>
        <r>
          <rPr>
            <sz val="9"/>
            <color indexed="81"/>
            <rFont val="Tahoma"/>
            <family val="2"/>
          </rPr>
          <t xml:space="preserve">
Acciones específicas de acuerdo a la función general</t>
        </r>
      </text>
    </comment>
    <comment ref="D11" authorId="0" shapeId="0" xr:uid="{8007894F-AB0B-482D-A2C8-9A04123FA228}">
      <text>
        <r>
          <rPr>
            <b/>
            <sz val="9"/>
            <color indexed="81"/>
            <rFont val="Tahoma"/>
            <family val="2"/>
          </rPr>
          <t>Génesis Daza:</t>
        </r>
        <r>
          <rPr>
            <sz val="9"/>
            <color indexed="81"/>
            <rFont val="Tahoma"/>
            <family val="2"/>
          </rPr>
          <t xml:space="preserve">
Diaria
Semanal
Quincenal
Mensual
Semestral
Anual</t>
        </r>
      </text>
    </comment>
    <comment ref="E11" authorId="0" shapeId="0" xr:uid="{DB0A15AE-C8DE-4E15-A583-81B06F2E7A53}">
      <text>
        <r>
          <rPr>
            <b/>
            <sz val="9"/>
            <color indexed="81"/>
            <rFont val="Tahoma"/>
            <family val="2"/>
          </rPr>
          <t>Génesis Daza:</t>
        </r>
        <r>
          <rPr>
            <sz val="9"/>
            <color indexed="81"/>
            <rFont val="Tahoma"/>
            <family val="2"/>
          </rPr>
          <t xml:space="preserve">
Cantidad de veces que realiza dicha actividad de acuerdo a la frecuencia. 
Por ejemplo: 5 veces al día</t>
        </r>
      </text>
    </comment>
    <comment ref="F11" authorId="0" shapeId="0" xr:uid="{FFD2DFFA-3F9C-4D9A-B44C-C625407A6826}">
      <text>
        <r>
          <rPr>
            <b/>
            <sz val="9"/>
            <color indexed="81"/>
            <rFont val="Tahoma"/>
            <family val="2"/>
          </rPr>
          <t>Génesis Daza:</t>
        </r>
        <r>
          <rPr>
            <sz val="9"/>
            <color indexed="81"/>
            <rFont val="Tahoma"/>
            <family val="2"/>
          </rPr>
          <t xml:space="preserve">
Área/Dpto relacionado</t>
        </r>
      </text>
    </comment>
    <comment ref="G11" authorId="0" shapeId="0" xr:uid="{AECDAF14-6257-4AD1-AAC1-B4619238B178}">
      <text>
        <r>
          <rPr>
            <b/>
            <sz val="9"/>
            <color indexed="81"/>
            <rFont val="Tahoma"/>
            <family val="2"/>
          </rPr>
          <t>Génesis Daza:</t>
        </r>
        <r>
          <rPr>
            <sz val="9"/>
            <color indexed="81"/>
            <rFont val="Tahoma"/>
            <family val="2"/>
          </rPr>
          <t xml:space="preserve">
Sistema
Software
(Odoo, Evolution, otros)
Matriz Excel</t>
        </r>
      </text>
    </comment>
    <comment ref="H11" authorId="0" shapeId="0" xr:uid="{B32A46E4-E92C-454D-B04A-34983AB4D387}">
      <text>
        <r>
          <rPr>
            <b/>
            <sz val="9"/>
            <color indexed="81"/>
            <rFont val="Tahoma"/>
            <family val="2"/>
          </rPr>
          <t>Génesis Daza:</t>
        </r>
        <r>
          <rPr>
            <sz val="9"/>
            <color indexed="81"/>
            <rFont val="Tahoma"/>
            <family val="2"/>
          </rPr>
          <t xml:space="preserve">
Links de páginas web si lo requiere
Escritorio (PC)
Físico (archivo)</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Génesis Daza</author>
  </authors>
  <commentList>
    <comment ref="B11" authorId="0" shapeId="0" xr:uid="{4424D73F-154A-464C-BFBC-B69E29CDE86F}">
      <text>
        <r>
          <rPr>
            <b/>
            <sz val="9"/>
            <color indexed="81"/>
            <rFont val="Tahoma"/>
            <family val="2"/>
          </rPr>
          <t>Génesis Daza:</t>
        </r>
        <r>
          <rPr>
            <sz val="9"/>
            <color indexed="81"/>
            <rFont val="Tahoma"/>
            <family val="2"/>
          </rPr>
          <t xml:space="preserve">
Función general</t>
        </r>
      </text>
    </comment>
    <comment ref="C11" authorId="0" shapeId="0" xr:uid="{05226F5A-66AB-4EF2-9C64-5FE49317D6EC}">
      <text>
        <r>
          <rPr>
            <b/>
            <sz val="9"/>
            <color indexed="81"/>
            <rFont val="Tahoma"/>
            <family val="2"/>
          </rPr>
          <t>Génesis Daza:</t>
        </r>
        <r>
          <rPr>
            <sz val="9"/>
            <color indexed="81"/>
            <rFont val="Tahoma"/>
            <family val="2"/>
          </rPr>
          <t xml:space="preserve">
Acciones específicas de acuerdo a la función general</t>
        </r>
      </text>
    </comment>
    <comment ref="D11" authorId="0" shapeId="0" xr:uid="{9909B4A3-6897-4F0D-AD54-532DF0589BB9}">
      <text>
        <r>
          <rPr>
            <b/>
            <sz val="9"/>
            <color indexed="81"/>
            <rFont val="Tahoma"/>
            <family val="2"/>
          </rPr>
          <t>Génesis Daza:</t>
        </r>
        <r>
          <rPr>
            <sz val="9"/>
            <color indexed="81"/>
            <rFont val="Tahoma"/>
            <family val="2"/>
          </rPr>
          <t xml:space="preserve">
Diaria
Semanal
Quincenal
Mensual
Semestral
Anual</t>
        </r>
      </text>
    </comment>
    <comment ref="E11" authorId="0" shapeId="0" xr:uid="{7BF2F192-DFFE-4ED0-B37E-8BFB721D80C1}">
      <text>
        <r>
          <rPr>
            <b/>
            <sz val="9"/>
            <color indexed="81"/>
            <rFont val="Tahoma"/>
            <family val="2"/>
          </rPr>
          <t>Génesis Daza:</t>
        </r>
        <r>
          <rPr>
            <sz val="9"/>
            <color indexed="81"/>
            <rFont val="Tahoma"/>
            <family val="2"/>
          </rPr>
          <t xml:space="preserve">
Cantidad de veces que realiza dicha actividad de acuerdo a la frecuencia. 
Por ejemplo: 5 veces al día</t>
        </r>
      </text>
    </comment>
    <comment ref="F11" authorId="0" shapeId="0" xr:uid="{CF28E0D2-0FE9-4F60-AAD2-CF9CDD1A930C}">
      <text>
        <r>
          <rPr>
            <b/>
            <sz val="9"/>
            <color indexed="81"/>
            <rFont val="Tahoma"/>
            <family val="2"/>
          </rPr>
          <t>Génesis Daza:</t>
        </r>
        <r>
          <rPr>
            <sz val="9"/>
            <color indexed="81"/>
            <rFont val="Tahoma"/>
            <family val="2"/>
          </rPr>
          <t xml:space="preserve">
Área/Dpto relacionado</t>
        </r>
      </text>
    </comment>
    <comment ref="G11" authorId="0" shapeId="0" xr:uid="{BE7EEED5-B5EA-4419-B6EF-59E4E4AF4301}">
      <text>
        <r>
          <rPr>
            <b/>
            <sz val="9"/>
            <color indexed="81"/>
            <rFont val="Tahoma"/>
            <family val="2"/>
          </rPr>
          <t>Génesis Daza:</t>
        </r>
        <r>
          <rPr>
            <sz val="9"/>
            <color indexed="81"/>
            <rFont val="Tahoma"/>
            <family val="2"/>
          </rPr>
          <t xml:space="preserve">
Sistema
Software
(Odoo, Evolution, otros)
Matriz Excel</t>
        </r>
      </text>
    </comment>
    <comment ref="H11" authorId="0" shapeId="0" xr:uid="{A0DD3CB3-A9BE-4F6A-A672-51C74050479D}">
      <text>
        <r>
          <rPr>
            <b/>
            <sz val="9"/>
            <color indexed="81"/>
            <rFont val="Tahoma"/>
            <family val="2"/>
          </rPr>
          <t>Génesis Daza:</t>
        </r>
        <r>
          <rPr>
            <sz val="9"/>
            <color indexed="81"/>
            <rFont val="Tahoma"/>
            <family val="2"/>
          </rPr>
          <t xml:space="preserve">
Links de páginas web si lo requiere
Escritorio (PC)
Físico (archivo)</t>
        </r>
      </text>
    </comment>
  </commentList>
</comments>
</file>

<file path=xl/sharedStrings.xml><?xml version="1.0" encoding="utf-8"?>
<sst xmlns="http://schemas.openxmlformats.org/spreadsheetml/2006/main" count="2782" uniqueCount="920">
  <si>
    <t>MATRIZ DE FUNCIONES</t>
  </si>
  <si>
    <t>Código:  F-TH-012</t>
  </si>
  <si>
    <t>Fecha: 06/07/2024</t>
  </si>
  <si>
    <t>Versión: 01</t>
  </si>
  <si>
    <t>Formato: Según necesidades de registro</t>
  </si>
  <si>
    <t>Aprobado por: Alta Dirección</t>
  </si>
  <si>
    <t>Página 1 de 2</t>
  </si>
  <si>
    <t>Medio de Comunicación: Físico</t>
  </si>
  <si>
    <t>Idioma: Español</t>
  </si>
  <si>
    <t xml:space="preserve">Área: </t>
  </si>
  <si>
    <t>CONTABILIDAD</t>
  </si>
  <si>
    <t xml:space="preserve">Cargo: </t>
  </si>
  <si>
    <t>SUBGERENTE DE CONTABILIDAD</t>
  </si>
  <si>
    <t>JORGE PEÑAFIEL</t>
  </si>
  <si>
    <t>Reporta a:</t>
  </si>
  <si>
    <t>JAVIER FERNANDEZ - JAIME ANDRES FERRE</t>
  </si>
  <si>
    <r>
      <t>N</t>
    </r>
    <r>
      <rPr>
        <b/>
        <sz val="11"/>
        <color theme="0"/>
        <rFont val="Calibri"/>
        <family val="2"/>
      </rPr>
      <t>°</t>
    </r>
  </si>
  <si>
    <t>FUNCIÓN</t>
  </si>
  <si>
    <t>ACCIONES</t>
  </si>
  <si>
    <t>FRECUENCIA</t>
  </si>
  <si>
    <t>VOLUMEN</t>
  </si>
  <si>
    <t>PROCESO</t>
  </si>
  <si>
    <t>RECURSO</t>
  </si>
  <si>
    <t>UBICACIÓN</t>
  </si>
  <si>
    <t>SUPERVISIÓN INTEGRAL DE LA CONTABILIDAD</t>
  </si>
  <si>
    <t>REVISAR CIERRES MENSUALES, EMITIR DIRECTRICES, COORDINAR EQUIPO CONTABLE</t>
  </si>
  <si>
    <t>Mensual</t>
  </si>
  <si>
    <t>Contabilidad</t>
  </si>
  <si>
    <t>SISTEMA-EXCEL</t>
  </si>
  <si>
    <t>PC</t>
  </si>
  <si>
    <t>CUMPLIMIENTO TRIBUTARIO</t>
  </si>
  <si>
    <t>VALIDAR ANEXOS, DECLARACIONES MENSUALES Y REPORTES ELECTRÓNICOS</t>
  </si>
  <si>
    <t>CUMPLIMIENTO REGULATORIO</t>
  </si>
  <si>
    <t>PREPARAR Y ENVIAR BALANCES, ESTADOS FINANCIEROS E INFORMES EXIGIDOS</t>
  </si>
  <si>
    <t>GESTIÓN TRIBUTARIA</t>
  </si>
  <si>
    <t>VERIFICAR BASES IMPONIBLES, REVISAR CONCILIACIONES TRIBUTARIAS Y ANEXOS</t>
  </si>
  <si>
    <t>GESTIÓN TRIBUTARIA CONSOLIDADA</t>
  </si>
  <si>
    <t>VERIFICAR CÁLCULOS DE IVA, Y RETENCIONES, ASI COMO CUALQUIER OTRO PUNTO SIMILAR</t>
  </si>
  <si>
    <t>GESTIÓN DE DEVOLUCIONES</t>
  </si>
  <si>
    <t>REVISAR PROCESOS DE DEVOLUCIÓN, PRESENTAR ESCRITOS ANTE EL SRI</t>
  </si>
  <si>
    <t>Bimensual</t>
  </si>
  <si>
    <t>GESTIÓN DE PLANEACIÓN FINANCIERA TRIBUTARIA</t>
  </si>
  <si>
    <t>CALCULAR FLUJOS PROYECTADOS DE DEVOLUCIÓN DE IVA EXPORTADOR</t>
  </si>
  <si>
    <t>PREPARACIÓN DE INFORMACIÓN FINANCIERA</t>
  </si>
  <si>
    <t>CONSOLIDAR BALANCES Y RESULTADOS DE CADA EMPRESA NO INTEGRADA EN SAP</t>
  </si>
  <si>
    <t>CONTROL DE CALIDAD DE REPORTES</t>
  </si>
  <si>
    <t>VALIDAR CONSISTENCIA, APLICAR NIIF, DETECTAR ERRORES CONTABLES</t>
  </si>
  <si>
    <t>CONSOLIDACIÓN FINANCIERA</t>
  </si>
  <si>
    <t>INTEGRAR INFORMACIÓN DE TODAS LAS EMPRESAS DEL GRUPO</t>
  </si>
  <si>
    <t>Trimestral</t>
  </si>
  <si>
    <t>REVISAR FACTURAS, AUTORIZAR PAGOS, CONTROLAR RETENCIONES</t>
  </si>
  <si>
    <t>Semanal</t>
  </si>
  <si>
    <t>CONTROL FINANCIERO</t>
  </si>
  <si>
    <t>CRUZAR REPORTES INTERNOS VS SISTEMAS DE FACTURACIÓN</t>
  </si>
  <si>
    <t>GESTIÓN ADUANERA</t>
  </si>
  <si>
    <t>CONSOLIDAR Y ENVIAR REPORTES DE EXPORTACIÓN PARA SENAE</t>
  </si>
  <si>
    <t>GESTIÓN PATRIMONIAL</t>
  </si>
  <si>
    <t>VALIDAR ALTAS, BAJAS, DEPRECIACIONES, CONCILIACIÓN DE INVENTARIO FÍSICO ANUAL</t>
  </si>
  <si>
    <t>MONITOREO DE INVERSIONES_CAPEX</t>
  </si>
  <si>
    <t>REVISAR EJECUCIÓN PRESUPUESTARIA Y REPORTAR A LA GERENCIA - CAPEX</t>
  </si>
  <si>
    <t>CONTABILIDAD DE COSTOS</t>
  </si>
  <si>
    <t>SEGREGAR COSTOS DE FRUTA Y MATERIALES_ REVISIÓN</t>
  </si>
  <si>
    <t>REVISAR PROCESOS DE COSTEO Y ASIGNACIONES</t>
  </si>
  <si>
    <t>REVISAR PROCESOS DE COSTEO AGRÍCOLA</t>
  </si>
  <si>
    <t>RECLAMO DE IMPUESTOS</t>
  </si>
  <si>
    <t>SOPORTE A RECLAMOS DE IMPUESTOS IVA EXPORTADOR DE BIENES</t>
  </si>
  <si>
    <t>SOPORTE A RECLAMOS DE IMPUESTOS IVA EXPORTADOR DE SERVICIOS</t>
  </si>
  <si>
    <t>SOPORTE A RECLAMOS DE IMPUESTOS IVA PROVEEDORES DE EXPORTADORES Y OTROS</t>
  </si>
  <si>
    <t>CONTROL DE PROCESOS CONTABLES</t>
  </si>
  <si>
    <t>COORDINAR ACTIVIDADES DE CIERRE, VERIFICAR CUMPLIMIENTO A NIVEL CORPORATIVO</t>
  </si>
  <si>
    <t>SOPORTE AUDITORÍAS</t>
  </si>
  <si>
    <t>PREPARAR PAPELES DE TRABAJO, RESPONDER OBSERVACIONES</t>
  </si>
  <si>
    <t>COORDINACIÓN GERENCIAL</t>
  </si>
  <si>
    <t>PARTICIPAR EN COMITÉS DE FINANZAS, AUDITORÍA Y GESTIÓN</t>
  </si>
  <si>
    <t>DECLARACIONES PERSONALES DIRECTIVOS</t>
  </si>
  <si>
    <t>REVISIÓN DE ESTADO TRIBUTARIO MENSUAL</t>
  </si>
  <si>
    <t>INVERSIONES DE CAPITAL</t>
  </si>
  <si>
    <t>REVISIÓN Y MONITOREO DE LAS INVERSIONES DE CAPITAL</t>
  </si>
  <si>
    <t>HOJA DE COSTOS</t>
  </si>
  <si>
    <t>REVISIÓN DE LA HOJA DE COSTOS DEL NEGOCIO INDUSTRIAL</t>
  </si>
  <si>
    <t>REVISIÓN DE LA HOJA DE COSTOS DE LOS NEGOCIOS AGRICOLAS_ PRODUCTORES</t>
  </si>
  <si>
    <t>Elaborado por:</t>
  </si>
  <si>
    <t>Revisado por:</t>
  </si>
  <si>
    <t>Aprobado por:</t>
  </si>
  <si>
    <t>Nombre del colaborador:</t>
  </si>
  <si>
    <t>CONTADOR EXPORTADORAS</t>
  </si>
  <si>
    <t>CESAR GUATO</t>
  </si>
  <si>
    <t>Supervisar cierre de cuentas por Pagar Exportadoras(TFE-TSER-MLC)</t>
  </si>
  <si>
    <t>Coordinar cierre de cuentas por pagar con el equipo contable de acuerdo con el cronograma establecido , verificar que todos los comprobantes electronicos que hemos emitidos sean autorizados, verificar reporte diario de facturas pendientes de registro y gestionar el ingreso respectivo con el presonal contble y correos de segumientos con otras areas a fin de garantizar el registo oportuno en SAP.</t>
  </si>
  <si>
    <t>Diario</t>
  </si>
  <si>
    <t>Supervisar y gestionar el cierre de Facturación de las Exportadoras(TFE-TSER-MLC)</t>
  </si>
  <si>
    <t>Coordinar cierre de facturación local de las exportadoras y  facturacion del exterior MLC con el equipo Contable, realizar seguimiento a Comercial para cierre de exportación TFE.</t>
  </si>
  <si>
    <t>Analisis de cuentas contables exportadoras (TFE-TSER-MLC)</t>
  </si>
  <si>
    <t>Analizar las cuentas contables tanto de Estado de situación Financiera y Estado de Resultado a fin de que se muestren de acuerdo a su naturaleza de su saldo y de forma razonables.</t>
  </si>
  <si>
    <t>Registro de diaro de reclasificación</t>
  </si>
  <si>
    <t>Registro de reclasificaciones por tema de error en la aplicación de la cuenta contable en el registro incial o por ajustes necesarios para el correcto registro de la infromación financiera.</t>
  </si>
  <si>
    <t>Elaboración  de Cuadro de Seguros por Amortizar TFE-MLC</t>
  </si>
  <si>
    <t xml:space="preserve"> Se procede a bajar un mayor del mes de la cuenta de activos intangibl es por amortizar a fin de revisar si existen nuevos registros que deben incluirse en el anexo de las compañias del exportadoras , luego se procede con el registro de la amortización en sap</t>
  </si>
  <si>
    <t>Elaboración  de Cuadro de Activos Intangibles TFE</t>
  </si>
  <si>
    <t xml:space="preserve"> Se procede a bajar un mayor del mes de la cuenta de seguros por amortizar a fin de revisar si existen nuevos regsitros que deben incluirse en el anexo de seguro de las compañias del exportadoras, luego se procede con el registro de la amoritzacion en SAP.</t>
  </si>
  <si>
    <t>Revisión y elaboración de Informe de gastos de depreciación de Activos fijos TFE</t>
  </si>
  <si>
    <t>Revisión de  la integridad del anexo y los registros contables, el reporte de los movimientos detallado  de las cuentas del mes es enviado por el asistente contable y es revisado de forma semanal adicional tambien se encarga de emplcar al activo fijo , una vez identificados nuevos activos se procede con la inclusion en el informe de activos fijos donde se coloca la cuenta contable a la cual pertence el numero de factura la fecha de inicio de depreciacion , valor rsidual en caso de aplicar  llenando todas las especificaciones requeridas al no contar con un modulo de activos fijos en sap.</t>
  </si>
  <si>
    <t>Revisión y elaboraciónn de Informe de gastos de depreciación de Activos fijos TSER</t>
  </si>
  <si>
    <t>Revisión de la integridad del anexo y los regsitros contables, el reporte de los movimientos detallado  de las cuentas del mes es enviado por el asistente contable y es revisado de forma semanal adicional tambien se encarga de emplacar al activo fijo , una vez identificados nuevos activos se procede con la inclusion en el informe de activos fijos donde se coloca la cuenta contable a la cual pertence el numero de factura la fecha de inicio de depreciacion , valor residual en caso de aplicar  llenando todas las especificaciones requeridas al no contar con un modulo de activos fijos en sap.</t>
  </si>
  <si>
    <t>Registro de la depreciación mensual TFE-TSER</t>
  </si>
  <si>
    <t xml:space="preserve"> Una vez completada y revisado en informe de gastos de depreciacion se procede con la elaboracion del asiento de diaro mismo que es enviado al Analista Contable para el registro en SAP.</t>
  </si>
  <si>
    <t>Registro de Provisiones TFE-TSER-MLC</t>
  </si>
  <si>
    <t xml:space="preserve">Registro de los valores que se deben provisionar por concepto de contribución a la super de Compañias, Auditoria </t>
  </si>
  <si>
    <t>Seguimiento a documentos electronicos pendientes de autorizar o anular TFE/TSER</t>
  </si>
  <si>
    <t>Gestionar junto al asistente a cargo de esta actividad la regularización respectiva para que no exsitan novedades con la declaracion mensual de impuestos, como actualmente el formulario 103 de retenciones viene prellenado con las retenciones que emitimos todos los comprobantes anulados deben contar con la aceptación de los proveedores para que no se visualicen en el formulario en linea.</t>
  </si>
  <si>
    <t>DECLARACION MENSUAL DE IMPUESTOS DE TFE</t>
  </si>
  <si>
    <t>Elaboración de la declaración despues del cierre de cuentas por pagar y facturación a clientes ,una vez cerrado el mes se bajan los reportes  de Ventas para la respectiva revisión de igual forma con  la Base de Compras y retenciones, IRU que es elaborador por el analista contable , se relaiza la cuadratura con el mayor contable de las cuentas de impuestos ,luego se procede con el  registro de asiento de diario de compensacion del IVA cobrado , registro de reclasificación de las cuentas de retenciones por pagar IR y IVA , solicitud de Fondeo a Financiero , posterior se realiza el envio en la fecha de vencimiento ante el SRI</t>
  </si>
  <si>
    <t>ANEXOS TRANSACCIONALES (ATS)</t>
  </si>
  <si>
    <t>Revisión del anexo extraido del sistema que no existan inconsistencia, cuadratura con los formularios 104 y 103 mensuales, validacion en Dimm formularios, se envia en conjunto con  la declaracion del mes</t>
  </si>
  <si>
    <t>REVISION Y  ENVIO DEINAL DE DECLARACION MENSUAL DE IMPUESTOS DE TFE</t>
  </si>
  <si>
    <t>La elaboración de la declarcion mensual de impuestos la realiza el analista Contable pero con previa revisión de mei parte se procede con el envio respectivo al SRI.</t>
  </si>
  <si>
    <t>PRE VALIDACION ATS TFE-TSER</t>
  </si>
  <si>
    <t>Realizar en le portal de las compañias TF/TSER el proceso de prevalidacion previo a al ingreso de la solicitud de devolución de IVA exportador de Bines/Servicios, se actualiza de ser necesario errores encontrados y se procede con la recarga del ATS .</t>
  </si>
  <si>
    <t>VALIDACIÓN EN DIMM DEVOLUCION IVA EXPORTADOR DE BIENES TFE</t>
  </si>
  <si>
    <t>Una vez validado el ATS se extrae del SRI un archivo txt que se validad en el DIMM-fomrluario SRI para verificar el total de transacciones con derecho a crédito tributario que va ser objeto a reclamo de IVA por Exportador de Bienes</t>
  </si>
  <si>
    <t>DEVOLUCIÓN DE IVA EXPORTADOR DE BIENES TFE</t>
  </si>
  <si>
    <t>Previo son los pasos de  generar la Pre validacion de ATS del mes a considerar y luego se valida en el dimm el archivo de devolucion IVA del mes , se procede a llenar los anexos en excel de las exportaciones de bienes  del mes y compras con derecho a credito tributario que se encuentre conciliados con los formualrio 104 del mes presentado al SRI , se clasifica todos los soportes requeridos en digital en una carpeta, se crea un archivo en HASMMYFILE , Se guarda en un CD , se acepta la liquidacion en la pagina del SRI , se procede con la elaboración de las cartas de certificación y responabilidades se toma la firmas respectivas y posterior se envia el sobre a ventanilla en el SRI para ingreso del tramite.</t>
  </si>
  <si>
    <t>DEVOLUCION DE IVA EXPORTADOR DE SERVICIOS TSER</t>
  </si>
  <si>
    <t xml:space="preserve">Una Vez realizada la Pre validacion en linea de TSER , el Analista contable se encarga de completar los anexos requeridos como base de compras con derecho a credito tributario y elaboracion de solicitud del reclamo de devolución del IVA exportador de servicios mismo que son revisado por mi persona para garantizar que la información a presentar se encuntre conciliada con lo declrado en formulario y ATS  , ventas lo referente a exportacion , solicito al area de financiero los soporte de los cobros aplicados a la factura de exportaciones del servicio para completar el formato establecido por el SRI , una vez se cuenta con todos los soportes respectivo procedo a quemar en el CD y completar la carta de certificaicon y responsabilidad con los codigos DMS5, para luego ser entregados en ventanilla en el SRI para ingreso del tramite. </t>
  </si>
  <si>
    <t>DEVOLUCION DE RETENCIONES IVA TSER</t>
  </si>
  <si>
    <t>Revisar los anexos elaborado por el Analista Contables que contiene toda la informacion requerida para el reclamo de retenciones de IVA que se presenta de forma anual aplica para TSER , Una vez revisado y conciliado con los formularios de los meses que aplique , procedo a quemar los CD y elaborar la carta de certificacion y responabilidad para toma de firmas respectivas, luego se procede con la entrega en ventanilla ante el SRI.</t>
  </si>
  <si>
    <t>Revisón del Estado Tributario de las Compañias Exportadoras TFE-TSER</t>
  </si>
  <si>
    <t>Revisar en el portal del SRI de TFE-TSER el estado tribuatrio referente a obligaciones tributarias, ,notificaciones electronicas recibidas del Sri por temas de oficios de devolución de ipuestos, oficios persuasivos o de carácter general.</t>
  </si>
  <si>
    <t>Soporte Contable a demas áreas de la compañía</t>
  </si>
  <si>
    <t>Brindar soporte a las demas areas referente al tratamiento contable que se dede considerar para la resolución del registro contable por cualquier caso que se presente.</t>
  </si>
  <si>
    <t>Estatus de requerimiento de Auditoria Externa</t>
  </si>
  <si>
    <t>Elaboración del estatus con los puntos solicitados por auditoria y distrubirlo a cada area según corresponda y velar el cumpliento de la información solicitada se entrege al auditor en una carpeta compartida.</t>
  </si>
  <si>
    <t>Atención de requerimiento de auditoria Externa</t>
  </si>
  <si>
    <t>Armar los anexos de cuentas solicitados  por el auditor , se distribuye entre el equipo contable las muestras que soliciten referente a facturas, diarios y soporte requeridos por el auditor.</t>
  </si>
  <si>
    <t>Encuesta Inec</t>
  </si>
  <si>
    <t>Elaboración de la encuesta  empresarial ensem  enviada de forma anual por el INEC misma que incluye los estados financiero del año anterior, kardex de venta y compra, medio ambiente, gasto de IT.</t>
  </si>
  <si>
    <t>Anual</t>
  </si>
  <si>
    <t>Declaracion anual formulario 101 TFE</t>
  </si>
  <si>
    <t>Elaboración de la delcaracion de impuestos a la renta a las sociedades en base a los Estados Financieros del ejericio anual a reportar.</t>
  </si>
  <si>
    <t>Revisión de Declaración anual formulario 101 TSER</t>
  </si>
  <si>
    <t>Esta actividad se delegó al Analista Contable para el soporte en la elaboracion del fromulario 101 , mismo que es realizado con mi acompañamiento y revisión previo envio ante el SRI.</t>
  </si>
  <si>
    <t>validacion de anexo RDEP anual TFE-TSER</t>
  </si>
  <si>
    <t>Brindar soporte al area de nomina para la elaboración del anexo de relación de dependencia , para luego validar en el dimm y notificar en caso de existir errores y posterior envio al SRI.</t>
  </si>
  <si>
    <t>Anexos SRI</t>
  </si>
  <si>
    <t>Elaboración de Anexos tributarios que se encuentra como obligatorio para la compañía como ADI, OPRE.</t>
  </si>
  <si>
    <t>Elaboración Anexo ICT TFE</t>
  </si>
  <si>
    <t>Elaboración de los anexo tributario ICT enviado a auditoria para la revisión del caso, posterior encargado del envio ante del SRI.</t>
  </si>
  <si>
    <t>Elaboración de los balances anual  e envio Superintendencia de Compañía correspondiente a TFE</t>
  </si>
  <si>
    <t>Completar la plantilla para homolgar los Estados Financiero de acuerdo al formato establecido por la Superintendencia de Compañias.</t>
  </si>
  <si>
    <t>Revisión de la Elaboración de los balances anual e envio Superintendencia de Compañía correspondiente a Tser</t>
  </si>
  <si>
    <t>Revisar la información completada por el Analista Contable previo envio ante la Supercias.</t>
  </si>
  <si>
    <t xml:space="preserve">Cierre de periodos en SAP </t>
  </si>
  <si>
    <t>Encargado de cerrar los periodos en de las Exportadoras y compañias relacionadas en SAP.</t>
  </si>
  <si>
    <t>Modificación de fechas de periodos contables</t>
  </si>
  <si>
    <t>Encargado de actualizar fecha de vencimientos o documentos solicitados por las demas areas en SAP</t>
  </si>
  <si>
    <t xml:space="preserve">REVISIÓN DE COMPARACIÓN PMR </t>
  </si>
  <si>
    <t>Revisión el archivo elaborado por el Analista Contable previa publicación de diferencias del PMR por las posibles contingencias tributarias que pueden afectar a la compañía.</t>
  </si>
  <si>
    <t>Verificación de Costo de Fruta TFE</t>
  </si>
  <si>
    <t>Verificar que el detalle extraido de SAP por parte del Analista Contable se encuntre previamente conciliado con los costos que se detallan en el Estado de Resultado del mes</t>
  </si>
  <si>
    <t>Supervisión al personal contable referente a  las actividades asignadas</t>
  </si>
  <si>
    <t>Velar que las actividades asignada a cada miembro del equipo sea realizada dentro de los tiempos establecidos para entrega oportuna de información, liquidación de fruta , pago a proveedores, requerimientos de auditorias varias.</t>
  </si>
  <si>
    <t>Elaboración de los Estados Financieros Mensuales Exportadoras TFE-TSER-MLC</t>
  </si>
  <si>
    <t>Elaboración  de los Estados Financieros una vez confirmado el cierre de todos los modulos y regsitros de cierre de mes,Posterior se procede con el envio al Sub-Gerente de Contabilidad para el consolidados general, una vez publicado los resultados por mail se procede a imprimir y tomar las firmas respectivas para ser colocados en carpeta de Financiero para los fines pertinentes.</t>
  </si>
  <si>
    <t>Revisión de la declaración y Balance de Intel</t>
  </si>
  <si>
    <t>Una vez realizado las actividades por el Analista Contable procedo a verificar la declaración y  balances , infomar cualquier novedad</t>
  </si>
  <si>
    <t>Acompañamiento Toma Fisica de Invenatrio</t>
  </si>
  <si>
    <t>se realiza conjunto auditoria externa y con el equipo de supply en le bodega CDTPF</t>
  </si>
  <si>
    <t>BODEGA CDTPF</t>
  </si>
  <si>
    <t>Registro de Liquidaciones de Personal</t>
  </si>
  <si>
    <t>Una vez nos solicite el area de TTHH via correo el acta de finiquito y nos confirme regsitro en EV se procede a validar y conatbilizar en EV y en SAP el diario de liquidación.</t>
  </si>
  <si>
    <t>Contabilización y Migración de Nomina en Evolutions y SAP de TFE/TSER</t>
  </si>
  <si>
    <t>contabilización de la nomina de quincena, fin de mes en Evolutions  y luego se genera el archivo en excel que es cargado posterior a SAP, de encontrarse alguna novedad por temas de descuentos o beneficios se reporta Vía mail  al area de TTHH.</t>
  </si>
  <si>
    <t>Quincenal</t>
  </si>
  <si>
    <t>ANALISTA CONTABLE 1 EXPORTADORAS</t>
  </si>
  <si>
    <t>SHIRLEY LUCIN</t>
  </si>
  <si>
    <t>ELABORACION  DE CUADRO DE SEGUROS POR AMORTIZAR TSER</t>
  </si>
  <si>
    <t>REVISIÓN DE MAYOR DEL MES DE LA CUENTA DE SEGUROS POR AMORTIZAR CON LA FINALIDAD DE REVISAR  SI EXISTEN NUEVOS REGSITROS QUE DEBEN INCLUIRSE EN EL ANEXO DE SEGURO , LUEGO SE PROCEDE CON EL REGSITRO DE LA AMORTIZACION EN SAP</t>
  </si>
  <si>
    <t>MENSUAL</t>
  </si>
  <si>
    <t>MATRIZ EXCEL-SISTEMA</t>
  </si>
  <si>
    <t>LAPTOP</t>
  </si>
  <si>
    <t>SE BAJA EL MAYOR DEL MES DE LA CUENTA INTANGIBLES SE REALIZA LA REVISIÓN DE LOS REGISTROS Y POSTERIOR LA  CONTABILIZACIÓN EN SAP.</t>
  </si>
  <si>
    <t xml:space="preserve">ELABORACIÓN DE PLANTILLA DE DEPRECIACION DE ACTIVOS FIJOS TFE </t>
  </si>
  <si>
    <t>EL CONTADOR ME ENVÍA EL ARCHIVO PARA LA CONTABILIZACIÓN Y PROCEDO ARMAR LAS PLANTILLAS DE CABECERA Y DETALLES EN EXCEL PARA LUEGO CARGARLO EN SAP POR MEDIO DE DATA TRANSFER WORKBENCH</t>
  </si>
  <si>
    <t>CORRESPONDE AL REGSITRO DE ASIENTO DE DIARIO PARA CORRECCIONES DE CUENTAS MAL APLICADAS AUTORIZADA POR EL CONTADOR/CONTADOR GENERAL</t>
  </si>
  <si>
    <t>SEMANAL</t>
  </si>
  <si>
    <t>SISTEMA</t>
  </si>
  <si>
    <t xml:space="preserve">REGISTRO DE AMORTIZACIÓN DE CUENTAS TSER/TFE </t>
  </si>
  <si>
    <t>CORRESPONDE A LOS REGISTROS DE LOS VALORES QUE SE DEBEN AMORTIZAR PREVIA AUTORIZACIÓN DE CONTADOR/CONTADOR GENERAL</t>
  </si>
  <si>
    <t>AUDITORIAS VARIAS SOPORTE  (OTRAS)</t>
  </si>
  <si>
    <t>SEGÚN NECESIDAD DE LA EMPRESA DOY SOPORTE A LOS REQUERIEMIENTOS SOLICITADOS COMO POR EJEMPLO LLENADO DE FORMATOS EN AUDITORIA FAIRTRADE, MAGAP.</t>
  </si>
  <si>
    <t>SEMESTRAL</t>
  </si>
  <si>
    <t>MATRIZ EXCEL</t>
  </si>
  <si>
    <t xml:space="preserve">BAJA CXP/TFE  </t>
  </si>
  <si>
    <t>SE REALIZA LA BAJA CON NOTA DE CREDITO INTERNA PROVEEDOR PRATT, HACIENDO UNA REVISIÓN DEL STOCK UTILIZADO DEL INVENTARIO POR LO CUAL SE PROCEDE A REVISAR EL KARDEX</t>
  </si>
  <si>
    <t xml:space="preserve">DESMONTE OF TFE  </t>
  </si>
  <si>
    <t>CUANDO HAY UN ERROR OPERATIVO POR ASIGNACIÓON CAJAS Y CLIENTES SE HACE EL DESMONTE, LO CUAL EL AREA DE SUPPLY INDICA LOS # DE OF . ESTO INCLUYE EMISIÓN, RECIBO,</t>
  </si>
  <si>
    <t>CREACION DE CALENDARIO BANANERO SAP</t>
  </si>
  <si>
    <t>CADA INICIO DE AÑO SE PROCEDE A LA CREACION DE LAS SEMANAS BANANERA EL CUAL CONSITE EN COLOCAR MANUALMENTE EN SAP LOS RANGOS DE INICIO Y FIN DE C/SEMANA (1 AL 52)</t>
  </si>
  <si>
    <t>ANUAL</t>
  </si>
  <si>
    <t>CREACION DE PERIODO FISCAL SAP</t>
  </si>
  <si>
    <t>CONSISTE EN APERTURAR EL AÑO FISCAL EN EL SISTEMA SAP, CON ELLO SE PUEDE TRANSACCIONAR TODAS LAS AREAS</t>
  </si>
  <si>
    <t xml:space="preserve">REVALORIZACIÓN DE INVENTARIO </t>
  </si>
  <si>
    <t>CUANDO UN ARTÍCULO INVENTARIADO NO POSEE COSTO EL AREA DE SUPPLY SOLICITA LA REASIGNACION DEL COSTO EN EL CUAL ELLOS PASAN UN DETALLE QUE DEBE CONTENER (ALMACÉN,PRECIO, ARTÍCULO)</t>
  </si>
  <si>
    <t xml:space="preserve">ANEXO REPORTE DE INVENTARIO TFE </t>
  </si>
  <si>
    <t>SE PROCEDE A BAJAR EL REPORTE DE STOCK DE INVENTARIO CON SU CUENTA MAYOR, EL CUAL DEBE SER COMPARABLE CON LOS SALDOS ACUMULADOS CADA MES. CON ELLO SE DETECTA LAS DIFERENCIAS ENTRE REPORTE Y BALANCE.</t>
  </si>
  <si>
    <t xml:space="preserve">INACTIVACION DE CUENTAS CONTABLES TFE/TSER: </t>
  </si>
  <si>
    <t>DEPENDIENDO LA NECESIDAD OPERATIVA PREVIA AUTORIZACIÓN DEL CONTADOR SE DESACTIVA EN EL RANGO DE FECHA INDICADA EN EL SISTEMA SAP.</t>
  </si>
  <si>
    <t xml:space="preserve">CREACION DE CENTRO DE COSTOS TFE/TSER: </t>
  </si>
  <si>
    <t>DEPENDIENDO LA NECESIDAD OPERATIVA PREVIA AUTORIZACIÓN DEL CONTADOR SE PROCEDE A CREAR  EN EL SISTEMA SAP.</t>
  </si>
  <si>
    <t xml:space="preserve">CREACIÓN DE CUENTAS CONTABLE TSER/TFE </t>
  </si>
  <si>
    <t>DEPENDIENDO LA NECESIDAD OPERATIVA EL CONTADOR ME INDICA MEDIANTE CORREO LAS CUENTAS QUE DEBEN CREARSE EN EL PLAN DE CUENTAS.</t>
  </si>
  <si>
    <t xml:space="preserve"> EL CONTADOR NOS ASIGNÓ CUENTAS PARA EL RESPECTIVO ANÁLISIS EL CUAL TENEMOS QUE COLOCAR LA INFORMACIÓN EN LA RUTA DE GERENTE FINANCIERO.</t>
  </si>
  <si>
    <t>SE PROCEDE CON LA ELABORACION DE LA DECLARACION DESPUES DEL CIERRE DE CUENTAS POR PAGAR Y FACTURACION A CLIENTES ,UNA VEZ CERRADO EL MES SE BAJAN LOS REPORTES  DE VENTAS PARA LA RESPECTIVA REVISION DE IGUAL FORMA CON  LA BASE DE COMPRAS Y RETENCIONES , SE RELAIZA LA CUADRATRURA CON EL MAYOR CONTABLE DE LAS CUENTAS DE IMPUESTOS ,LUEGO SE PROCEDE CON EL  REGISTRO DE ASIENTO DE DIARIO DE COMPENSACION DEL IVA COBRADO , REGISTRO DE RECLASIFICACION DE LAS CUENTAS DE RETENCIONES POR PAGAR IR Y IVA , SOLICITUD DE FONDEO A FINANCIERO , POSTERIOR SE REALIZA EL ENVIO EN LA FECHA DE VENCIMIENTO ANTE EL SRI</t>
  </si>
  <si>
    <t>GENERACIÓN DEL ANEXO EL CUAL SE DESCARGA DE SAP, SE REALIZA EL ANÁLISIS Y REVISIÓN DE CADA RUBRO( PORCENTAJES DE RETENCIONES, MONTO DE VENTAS EXPORTACION,MONTOS DE COMPRAS) DEBE SER IGUAL AL FORMULARIO 104-103 DE LA DECLARACIÓN</t>
  </si>
  <si>
    <t xml:space="preserve">DEVOLUCION DE IVA EXPORTADOR TSER (BASES) </t>
  </si>
  <si>
    <t>POSTERIOR A LA DECLARACIÓN DE IMPUESTOS SE EMPIEZA CON LA REVISIÓN DE LAS BASES DE COMPRAS DONDE SE VERIFIQUE QUE CUADRE CON LO DECLARADO. CONSIDERAR QUE SE ARMA PLANTILLA PARA LLENAR CORRECTAMENTE EL LISTADO DE ADQUISICIONES LOCALES E IMPORTACIONES PARA DEVOLUCIÓN DEL IVA A EXPORTADORES DE SERVICIOS Y EL LISTADO DE EXPORTACIONES DEL MES. FINALMENTE EL CONTADOR REVISA EL BORRADOR PREVIO EN VÍO AL SRI</t>
  </si>
  <si>
    <t xml:space="preserve">DEVOLUCION DE IVA RETENCIÓN DE CLIENTES TSER  </t>
  </si>
  <si>
    <t xml:space="preserve">SE REALIZA EL PROCESO CUMPLIENDO CON LOS REQUISITOS SOLICITADOS POR EL SRI </t>
  </si>
  <si>
    <t xml:space="preserve">SOPORTE ENDOSO NC DESMATERIALIZA SRI TSER  </t>
  </si>
  <si>
    <t>CON  PREVIA APROBACIÓN DEL CONTADOR AYUDO A REALIZAR EL PROCESO DE ENDOSO.</t>
  </si>
  <si>
    <t>SRI</t>
  </si>
  <si>
    <t>REQUERIMIENTOS DE AUDITORIA  CONTABLE</t>
  </si>
  <si>
    <t>ELABROACION DE INFORMACION REQUERIDA POR AUDITORIA EXTERNA. (DEPENDE LA DISTRIBUCIÓN DE ITEMS INDICADOS POR EL CONTADOR)</t>
  </si>
  <si>
    <t xml:space="preserve">DECLARACION  ANUAL FORMULARIO 101 TSER </t>
  </si>
  <si>
    <t>ELABORACION DE LA DELCARACION DE IMPUESTOS A LA RENTA A LAS SOCIEDADES EN BORRADOR PARA LA RESPECTIVA REVISIÓN Y APROBACIÓN DEL CONTADOR.</t>
  </si>
  <si>
    <t xml:space="preserve">ELABORACION DE ESTADOS FINANCIEROS PARA ENVIO A LA SUPER DE COMPAÑIAS DE TSER </t>
  </si>
  <si>
    <t>PREPARACIÓN DE PAPELES DE TRABAJO PARA LA REVISIÓN Y APROBACIÓN DEL CONTADOR.</t>
  </si>
  <si>
    <t xml:space="preserve">ELABORACIÓN ANEXO ICT TSER (BORRADOR) </t>
  </si>
  <si>
    <t>PREVIA INTRUCCIÓN DEL CONTADOR ELABORO EL ANEXO ICT, UNA VEZ REALIZADO LO ENVÍO AL CONTADOR PARA LA RESPECTIVA REVISIÓN.</t>
  </si>
  <si>
    <t>OTROS ANEXOS SRI</t>
  </si>
  <si>
    <t>ELABORACIÓN DE ANEXOS ANUALES ADI,REDEFICP,ACCIONISTAS</t>
  </si>
  <si>
    <t>SRI-DIMM</t>
  </si>
  <si>
    <t>SEGMENTACIÓN POR FRUTA Y MATERIALES SE PROCEDE A BAJAR DE SAP EL QUERY MOVIMIENTO DE OF DONDE ESTÁ TODO LA INFORMACIÓN DE  ENTRADA; DEVOLUCIÓN; ENTREGA; EMISIÓN; RECIBO; FACTURA EN DONDE LOS DOCUMENTOS DE EMISIÓN GENERADOS POR LOS CONSUMOS  SE REVISAN CON EL MAYOR CON LOS COSTOS DE EXPORTACION LUEGO DEL RESPECTIVO CUADRE SE PROCEDE HACER EL DIARIO EN SAP</t>
  </si>
  <si>
    <t xml:space="preserve">CONCILIACIÓN COSTO POR LÍNEA DE NEGOCIO </t>
  </si>
  <si>
    <t>SEGMENTACIÓN COSTOS POR FRUTA Y MATERIALES SEGÚN LINEA DE NEGOCIO DEBE DE CUADRAR CON SAP, SE REALIZA POST CONCILIACIÓN COSTO DDE VENTAS.</t>
  </si>
  <si>
    <t>CONCILIACIÓN SALDOS RELACIONADAS</t>
  </si>
  <si>
    <t xml:space="preserve"> TIENE COMO FINALIZADAD CUADRAR LOS SALDOS ENTRE CIAS LO CUAL EN SAP SE BAJA EL REPORTE  CONCILIACIÓN RELACIONADAS DETALLE EN LAS EMPRESAS TFE/TSER/MLC DONDE SE HACE EL ANÁLISIS Y REVISION DE LAS CXP Y CXC  MODULOS Y NO MODULOS. CADA CONTADOR ES ENCARGADO DE ENVIAR SUS SALDOS DE LAS CIA A CARGO PARA PROCEDER ACTUALIZAR EN LA PLANTILLA </t>
  </si>
  <si>
    <t xml:space="preserve">ESTATUS GRUPO TFE </t>
  </si>
  <si>
    <t>SE COMPARTE A LOS CONTADORES LOS VENCIMIENTOS TRIBUTARIOS/INTERNOS DEL MES EJEMPLO (IMPUESTOS,ANEXOS,CONTRIBUCIONES ), SE REALIZA LA VERIFICACIÓN DE LA CARGA EN EL SRI, SUPER CÍAS</t>
  </si>
  <si>
    <t>ACTUALMENTE DE IMPORTA (ETIQUETAS, GAVETAS IFCO Y ALDIS) EL PROCESE ES BAJAR EL MAYOR DE LA CUENTA DE IMPORTACIONES EN TRÁNSITO Y SE REVISA LA LIQUIDACION ENVIADA POR COMEX DONDE SE PROCEDE CON LA REVISIÓN DE TODOS LOS COSTOS ASOCIADOS ENTEN REGISTRADOS CORRECTAMENTE YA QUE HAY CASOS QUE NO ESTAN Y SE PROCEDE A RECLASIFICAR, POSTERIOR SE HACE LA REVALORIZACIÓN EN SAP DEL ARTÍCULO Y TAMBIEN EL ASIENTO DANDO DE BAJA LA CUENTA. FINALMENTE ESTA LA CUENTA DEBEN DE QUEDAR UNICAMENTE LOS COSTOS DE LAS IMPORTACIONES PRÓXIMAS A LLEGAR.</t>
  </si>
  <si>
    <t>CÁLCULO IRU TFE</t>
  </si>
  <si>
    <t xml:space="preserve"> LUEGO DE LA CONFIRMACIÓN DEL CIERRE CXC SE PROCEDE A BAJAR LOS REPORTE PARA EL RESPETIVA ANÁLISIS Y REVISIÓN DEL VALOR A PAGAR DEL MES, EL CUAL SE BASA EN EL CUADRE DE LAS VENTAS CONTABLIDAD VS REPORTE  DE LAS CATEGORIA DE BANANO, PLÁTANO, OTROS CON EL ESTADO DE RESULTADOS.</t>
  </si>
  <si>
    <t>SOPORTE BLOQUEO/DESBLOQUEO DE PERIODOS EN SAP DE LAS COMPAÑÍA DEL GRUPO PREVIA AUTOROZACION DEL CONTADOR/CONTADOR GENERAL</t>
  </si>
  <si>
    <t>RECLASIFICACIÓN RETENCIONES CLIENTES EN FTE TSER</t>
  </si>
  <si>
    <t xml:space="preserve">  POSTERIOR AL CIERRE DE CXP-CXC SE PROCEDE A REGISTRAR CORRECTAMENTE EL MONTO EN SAP YA QUE SAP HACE EL DIARIO DE FORMA GENERAL  101050204-0-0-1 RETENCIONES EN LA FUENTE (, , TSER) Y LO CORRECTO ES 101050202-0-0-1  2% IMPUESTO RENTA RETENIDO</t>
  </si>
  <si>
    <t xml:space="preserve">SOPORTE ANÁLISIS CUENTA DE REEMBOLSO DE GASTOS TSER/TFE  </t>
  </si>
  <si>
    <t>APOYO A CUALQUIER INQUIETUD POR LAS DIFERENCIAS DE LA CUENTA REEMBOLSOS</t>
  </si>
  <si>
    <t xml:space="preserve">COMPARACIÓN PMR </t>
  </si>
  <si>
    <t>SE REALIZA EL ANÁLISIS Y REVISIÓN  DE MANERA MENSUAL DEL PRECIO DE EXPORTACIÓN FACTURADO VS EL PRECIO MÍNIMO AUTORIZADO EL CUAL SE LE COMPARTE LAS DIFERENCIAS AL ÁREA COMERCIAL Y PLANIFICAACIÓN  FINANCIERA PARA LOS CORRECTIVOS A FUTURO.</t>
  </si>
  <si>
    <t>CONSISTE EN REVISAR POSTERIOR A LA CONTABILIZACIÓN DE LA NÓMINA LOS SALDOS VS EL PROYECTADO DE ACTUARIA, EN CASO DE EXISTIR DIFERENCIA SE REALIZA EL DIARIO DE AJUSTE.</t>
  </si>
  <si>
    <t>ABASTECIMIENTO GUIAS DE REMISIÓN Y HOJAS DE RUTA TFE</t>
  </si>
  <si>
    <t>LLEVO UN CONTROL DEL STOCK DE LAS GUIAS, CUANDO YA QUEDA POCO SOLICITO A LA IMPRENTA LA CANTIDAD NECESARIA PARA UNOS TRES MESES PROMEDIO DE CADA PUNTO DE EMISIÓN.</t>
  </si>
  <si>
    <t>TRIMESTRAL</t>
  </si>
  <si>
    <t>DECLARACION MENSUAL DE IMPUESTOS INTELCOMAX</t>
  </si>
  <si>
    <t xml:space="preserve"> SE PROCEDE CON LA ELABORACION DE LA DECLARACION DESPUES DEL CIERRE DE CUENTAS POR PAGAR Y FACTURACION A CLIENTES ,UNA VEZ CERRADO EL MES SE BAJAN LOS REPORTES  DE VENTAS PARA LA RESPECTIVA REVISION DE IGUAL FORMA CON  LA BASE DE COMPRAS Y RETENCIONES , SE RELAIZA LA CUADRATRURA CON EL MAYOR CONTABLE DE LAS CUENTAS DE IMPUESTOS ,LUEGO SE PROCEDE CON EL  REGISTRO DE ASIENTO DE DIARIO DE COMPENSACION DEL IVA COBRADO , REGISTRO DE RECLASIFICACION DE LAS CUENTAS DE RETENCIONES POR PAGAR IR Y IVA , SOLICITUD DE FONDEO A FINANCIERO , POSTERIOR SE REALIZA EL ENVIO EN LA FECHA DE VENCIMIENTO ANTE EL SRI</t>
  </si>
  <si>
    <t xml:space="preserve">ANEXOS TRANSACCIONALES (ATS) INTELCOMAX </t>
  </si>
  <si>
    <t xml:space="preserve">ELABORACIÓN Y PRESENTACION DE EF INTELCOMAX </t>
  </si>
  <si>
    <t>UNA VEZ REALIADO TODO EL PROCESO OPERATIVO  PRESENTO AL CONTADOR GENERAL LOS ESTADOS FINANCIEROS PARA LA RESPECTIVA REVISIÓN Y POSTERIOR A ELLO PASO EL CORREO CON LOS RESULTADOS.</t>
  </si>
  <si>
    <t xml:space="preserve">PROCESO OPERTIVO INTEL </t>
  </si>
  <si>
    <t>REALIZO EL REGISTRO DE LAS CXP CXC, CONCILIACIÓN BANCARIA, AMORTIZACIONES, CUADRE DE SALDOS DE ACTUARIA, DIARIOS DE ACTIVOS FIJOS, REGISTRO DE PROVISIONES, PAGOS EFECTUADOS, PAGOS RECIBIDOS</t>
  </si>
  <si>
    <t>DECLARACION  ANUAL FORMULARIO 101 INTEL</t>
  </si>
  <si>
    <t xml:space="preserve"> ELABORACION DE LA DELCARACION DE IMPUESTOS A LA RENTA A LAS SOCIEDADES EN BORRADOR PARA LA RESPECTIVA REVISIÓN Y APROBACIÓN DEL CONTADOR.</t>
  </si>
  <si>
    <t xml:space="preserve">ELABORACION DE ESTADOS FINANCIEROS PARA ENVIO A LA SUPER DE COMPAÑIAS DE INTEL </t>
  </si>
  <si>
    <t xml:space="preserve">REQUERIMIENTOS CALIFICACIÓN PROVEEDORES INTEL  </t>
  </si>
  <si>
    <t>DEPENDIENDO LA NECESITAD LA GERENCIA SOLICITA REQUERIMIENTOS PARA PROCEDER A CALIFICARSE COMO PROVEEDOR SEGUN PROYECTOS QUE SALGAN, SE LLENA FORMULARIOS Y OTROS REQUISITOS QUE SOLICITEN.</t>
  </si>
  <si>
    <t xml:space="preserve">CARGA DE ORDENES BANCARIAS INTEL  </t>
  </si>
  <si>
    <t>SE CARGA LAS ORDENES DE LOS PROVEEDORES A PAGAR Y NOMINA SEGÚN LA NECESIDAD OPERATIVA</t>
  </si>
  <si>
    <t>OTROS</t>
  </si>
  <si>
    <t xml:space="preserve">MIGRACION DE NOMINA DE INTEL </t>
  </si>
  <si>
    <t>SE PROCEDE A  LA  GENERACIÓN DE CONTABILIZACIÓN DE LAS NÓMINA DE QUINCENA Y FIN DE MES  EN  EVOLUTION POSTERIOR SE CARGA  EN SAP EL ARCHIVO TIPO CSV .</t>
  </si>
  <si>
    <t>QUINCENAL</t>
  </si>
  <si>
    <t>EVOLUTION</t>
  </si>
  <si>
    <t>ILUSTRACION Y SOPORTE EN SAP A OTRAS ÁREAS DE LA ORGANIZACIÓN.</t>
  </si>
  <si>
    <t>CONSISTE EN BRINDAR CAPACITACIÓN Y ASISTENCIA CONTINUA EN SAP A LOS DISTINTOS DEPARTAMENTOS, PROMOVIENDO LA EFICIENCIA Y UNIFORMIDAD EN LOS PROCESOS OPERATIVOS.</t>
  </si>
  <si>
    <t>ANALISTA CONTABLE 2 EXPORTADORAS</t>
  </si>
  <si>
    <t>GERALDINE NAULA</t>
  </si>
  <si>
    <t>FACTURACIÓN CIF BANANO A CLIENTES EN MULTINATIONAL</t>
  </si>
  <si>
    <t>ELABORACIÓN SEMANAL DE FACTURAS DE BANANO PARA CLIENTES INTERNACIONALES EN MULTINATIONAL, TRABAJANDO CON LOS REPORTES DE TRÁMITES DE LA SEMANA, DETALLE DE CONSOLIDACIÓN EN FTL Y B/LS CON CIERRE SEMANAL CORRESPONDIENTE.</t>
  </si>
  <si>
    <t>SAP-EXCEL-CONSOLIDACIÓN-BL-TRÁMITES</t>
  </si>
  <si>
    <t>FACTURACIÓN CIF PLÁTANO A CLIENTES EN MULTINATIONAL</t>
  </si>
  <si>
    <t>ELABORACIÓN SEMANAL DE FACTURAS DE PLATANO PARA CLIENTES INTERNACIONALES EN MULTINATIONAL, TRABAJANDO CON LOS REPORTES DE TRÁMITES DE LA SEMANA, DETALLE DE CONSOLIDACIÓN EN FTL Y B/LS CON CIERRE SEMANAL CORRESPONDIENTE.</t>
  </si>
  <si>
    <t xml:space="preserve">SEMANAL </t>
  </si>
  <si>
    <t>EMISIÓN DE NOTAS DE CRÉDITOS CLIENTES EN MULTINATIONAL (BANANO Y PLÁTANO)</t>
  </si>
  <si>
    <t>ELABORACIÓN DE NOTAS DE CRÉDITO SEGÚN AJUSTES DE PRECIOS, RECLAMOS DE FRUTAS, DEVOLUCIONES, VERIFICACIÓN DE MONTOS Y CLIENTES, REGISTRO DE LOS ASIENTOS CORRESPONDIENTES EN SAP, Y ACTUALIZACIÓN DE CUENTAS POR COBRAR.</t>
  </si>
  <si>
    <t>FACTURACIÓN DDP BANANO COSTO</t>
  </si>
  <si>
    <t xml:space="preserve">ELABORACIÓN SEMANAL DE FACTURAS DE BANANO PARA CLIENTES INTERNACIONALES EN MULTINATIONAL, TRABAJANDO CON LOS REPORTES DE TRÁMITES DE LA SEMANA, DETALLE DE CONSOLIDACIÓN EN FTL Y B/LS, FACTURACIÓN SE REALIZA 21 DÍAS DESPUES DEL ZARPE DE LA CARGA </t>
  </si>
  <si>
    <t>EMISIÓN CERTIFICADOS DE EXPORTACIÓN</t>
  </si>
  <si>
    <t>ELABORACIÓN DE CERTIFICADOS PARA PRODUCTORES SEGÚN LOS MESES SOLICITADOS, INCLUYENDO EL DETALLE DE DAE, NÚMERO DE FACTURA DE VENTA, CANTIDAD DE CAJAS EXPORTADAS, FECHA DE CIERRE DE LAS DAE, VALOR TOTAL EN USD Y FACTURA DE COMPRA DEL PROVEEDOR.</t>
  </si>
  <si>
    <t xml:space="preserve">MENSUAL </t>
  </si>
  <si>
    <t>SAP-EXCEL</t>
  </si>
  <si>
    <t xml:space="preserve">REVISIÓN, GESTIÓN Y CONTROL DEL FLUJO DE CUENTAS POR PAGAR (INVOICES-MLC) MULTINATIONAL  </t>
  </si>
  <si>
    <t>REGISTRO Y ANÁLISIS DE FACTURAS DE PROVEEDORES DEL EXTERIOR EN EL SISTEMA CONTABLE, SEGÚN APROBACIÓN DEL EQUIPO COMERCIAL, INCLUYENDO FACTURAS DE INSPECCIONES ADICIONALES A CONTENEDORES EXPORTADOS, YA SEA DE FORMA SEMANAL O MENSUAL (PROVEEDORES COMO SEABOARD, J&amp;K, LARAS TRUCKING, RENE VELASQUEZ, HPL APOLLO, ETC.), VERIFICACIÓN Y ANÁLISIS DE DATOS Y MONTOS.</t>
  </si>
  <si>
    <t xml:space="preserve">DIARIO </t>
  </si>
  <si>
    <t>CONSOLIDACIÓN DE VENTAS CÍAS RELACIONADAS A MLC</t>
  </si>
  <si>
    <t>REALIZACIÓN Y ANÁLISIS DE CONCILIACIONES DE VENTAS ENTRE EXPORTADORAS RELACIONADAS PARA VERIFICAR QUE LOS REGISTROS DE VENTAS ESTÉN CUADRADOS, IDENTIFICANDO DIFERENCIAS Y REGISTRANDO AJUSTES CONTABLES NECESARIOS.</t>
  </si>
  <si>
    <t>ASIENTOS POR DESCUENTOS A EMPLEADOS MEDIANTE ROL</t>
  </si>
  <si>
    <t>REGISTRO Y ANÁLISIS DE ASIENTOS DE DIARIO O DE RECLASIFICACIÓN EN CUENTAS POR COBRAR DE EMPLEADOS POR DESCUENTOS INDICADOS POR EL ÁREA DE RRHH, VERIFICANDO LA CONSISTENCIA DE MONTOS, CLASIFICACIÓN CONTABLE CORRECTA</t>
  </si>
  <si>
    <t>ANALISIS Y CONCILIACION DE CUENTAS CONTABLES MENSUALES</t>
  </si>
  <si>
    <t>REALIZAR EL ANÁLISIS DETALLADO DE LAS CUENTAS CONTABLES MENSUALES, COMPARANDO SALDOS Y MOVIMIENTOS PARA IDENTIFICAR DISCREPANCIAS.</t>
  </si>
  <si>
    <t>CONCILIACION DE COMPRAS, VENTAS, SALDOS EN CUENTAS POR COBRAR ENTRE COMPAÑÍAS RELACIONADAS</t>
  </si>
  <si>
    <t>REALIZAR LA CONCILIACIÓN DE COMPRAS, VENTAS Y SALDOS EN CUENTAS POR COBRAR ENTRE COMPAÑÍAS RELACIONADAS, VERIFICANDO LA COHERENCIA DE LOS REGISTROS CONTABLES, DETECTANDO DIFERENCIAS Y REGISTRANDO LOS AJUSTES NECESARIOS</t>
  </si>
  <si>
    <t>ELABORACIÓN DE REPORTES FINANCIEROS</t>
  </si>
  <si>
    <t>ELABORAR REPORTERÍA FINANCIERA MENSUAL PARA ELABORACIÓN DE BALANCES.</t>
  </si>
  <si>
    <t>SAP</t>
  </si>
  <si>
    <t>COMPARATIVO VENTAS MLC Y DECLARACION COFACE</t>
  </si>
  <si>
    <t>REALIZAR REPORTE, ANALISIS, COMPARACIÓN Y REVISIÓN DE LA INFORMACIÓN RECIBIDA POR CORREO DEL ÁREA FINANCIERA, VERIFICANDO QUE LO DECLARADO A COFACE COINCIDA CON LAS VENTAS REGISTRADAS EN LA CONTABILIDAD POR CLIENTE EN MULTINATIONAL.</t>
  </si>
  <si>
    <t>SOPORTE MEDIANTE AUDITORÍA EXTERNAS E INTERNAS</t>
  </si>
  <si>
    <t>PROPORCIONAR SOPORTE EN AUDITORÍAS TRIBUTARIAS, DE CARBONO NEUTRO Y OTROS PROCESOS DE CONTROL FINANCIERO.</t>
  </si>
  <si>
    <t xml:space="preserve">SEMESTRAL </t>
  </si>
  <si>
    <t>ASISTENCIA TÉCNICA EN LA DETERMINACION DE RETENCIONES TRIBUTARIAS</t>
  </si>
  <si>
    <t>BRINDAR ASISTENCIA TÉCNICA EN LA DETERMINACIÓN DE RETENCIONES TRIBUTARIAS A LOS PRVOEEDORES, INCLUYENDO CÁLCULO SEGÚN NORMATIVA VIGENTE.</t>
  </si>
  <si>
    <t>REFORMAS TRIBUTARIAS ACTUALIZADAS</t>
  </si>
  <si>
    <t>GESTIÓN CONTABLE Y CLASIFICACIÓN DE CUENTAS FINANCIERAS</t>
  </si>
  <si>
    <t>SE REALIZA LA GESTIÓN CONTABLE Y CLASIFICACIÓN DE CUENTAS FINANCIERAS, MEDIANTE LA REVISIÓN, ANÁLISIS Y REGISTRO DE LOS MOVIMIENTOS CONTABLES EN EL SISTEMA. SE CLASIFICAN LAS TRANSACCIONES SEGÚN SU NATURALEZA (ACTIVOS, PASIVOS, INGRESOS Y GASTOS)</t>
  </si>
  <si>
    <t>GESTIÓN DE REPOSICIÓN Y CONTROL DE CAJA CHICA EL CARMEN Y EL PAN</t>
  </si>
  <si>
    <t>SE EJECUTA LA GESTIÓN DE REPOSICIÓN Y CONTROL DE CAJA CHICA, MEDIANTE LA REVISIÓN DE COMPROBANTES DE GASTO, VALIDACIÓN DE SOPORTES Y REGISTRO CONTABLE DE LOS MOVIMIENTOS EFECTUADOS. SE VERIFICA QUE LOS GASTOS SE ENCUENTREN DENTRO DE LAS POLÍTICAS INTERNAS Y SE PREPARA LA SOLICITUD DE REPOSICIÓN CORRESPONDIENTE.</t>
  </si>
  <si>
    <t>APOYO EN DECLARACIONS, ATS Y ANEXOS</t>
  </si>
  <si>
    <t>SE BRINDA APOYO EN LA ELABORACIÓN DE DECLARACIONES TRIBUTARIAS, ATS Y ANEXOS, MEDIANTE REPORTERÍA Y REVISIÓN DE INFORMACIÓN CONTABLE, VALIDANDO LOS DATOS REGISTRADOS EN EL SISTEMA.</t>
  </si>
  <si>
    <t>SUPERVISIÓN DE CIERRE CONTABLE EN CUENTAS POR PAGAR MENSUAL Y ANUAL</t>
  </si>
  <si>
    <t>SE EJECUTA LA SUPERVISIÓN Y EJECUCIÓN DEL CIERRE CONTABLE MENSUAL Y ANUAL DE LAS CUENTAS POR PAGAR, REVISANDO LOS REGISTROS DE FACTURAS DE COMPRA, RETENCIONES Y FACTURAS DE VENTA, ASÍ COMO LAS RECLASIFICACIONES NECESARIAS PARA MANTENER CORRECTA CONTABILIZACION DE GASTOS.</t>
  </si>
  <si>
    <t>CREACIÓN Y ACTUALIZACIÓN DE ARTÍCULOS Y CUENTAS CONTABLES EN SAP</t>
  </si>
  <si>
    <t>SE REALIZA LA CREACIÓN Y ACTUALIZACIÓN DE ARTÍCULOS Y CUENTAS CONTABLES DE BIENES O SERVICIOS  EN SAP, SEGÚN LOS REQUERIMIENTOS DE LAS DEMÁS ÁREAS.</t>
  </si>
  <si>
    <t>REVISION Y ANALISIS DE CUENTAS INGRESOS, COSTOS Y GASTOS</t>
  </si>
  <si>
    <t>SE REVISA Y ANALIZA LA INFORMACIÓN DE LAS CUENTAS DE INGRESOS, COSTOS Y GASTOS, VERIFICANDO QUE LOS REGISTROS CONTABLES ESTÉN CORRECTOS Y RESPALDADOS CON SU DOCUMENTACIÓN. SE COMPARAN LOS VALORES ENTRE PERIODOS Y SE IDENTIFICAN DIFERENCIAS PARA REALIZAR LOS AJUSTES O RECLASIFICACIONES NECESARIAS.</t>
  </si>
  <si>
    <t>CONTROL DE CUENTAS POR PAGAR Y REVISIÓN DE GASTOS OPERATIVOS EN EXPORTADORAS</t>
  </si>
  <si>
    <t>SE REVISA Y CONTROLA LA INFORMACIÓN DE LAS CUENTAS POR PAGAR DE LAS EXPORTADORAS, VERIFICANDO QUE LAS FACTURAS DE COMPRA Y GASTOS OPERATIVOS ESTÉN CORRECTAMENTE REGISTRADOS, APROBADOS Y RESPALDADOS. SE REALIZAN SEGUIMIENTOS A LOS PROVEEDORES Y SE CONFIRMA QUE LOS VALORES COINCIDAN CON LOS REGISTROS CONTABLES.</t>
  </si>
  <si>
    <t xml:space="preserve">ANALISIS DE VENTAS CIF Y DDP MENSUALES </t>
  </si>
  <si>
    <t>SE REALIZA EL ANÁLISIS MENSUAL DE LAS VENTAS CIF Y DDP EN MULTINATIONAL, REVISANDO QUE LAS FACTURAS ESTÉN CORRECTAMENTE EMITIDAS Y REGISTRADAS EN EL SISTEMA CONTABLE. SE COMPARAN LOS VALORES FACTURADOS CON LOS REPORTES DE EXPORTACIÓN Y SE IDENTIFICAN DIFERENCIAS O AJUSTES</t>
  </si>
  <si>
    <t>RECLASIFICACIONES CONTABLES Y AJUSTES MENSUALES</t>
  </si>
  <si>
    <t>SE REALIZAN RECLASIFICACIONES CONTABLES Y AJUSTES MENSUALES SEGÚN LAS OBSERVACIONES DEL ÁREA CONTABLE O AUDITORÍA, CORRIGIENDO REGISTROS MAL CLASIFICADOS O INCONSISTENCIAS DETECTADAS.</t>
  </si>
  <si>
    <t>VERIFICACIÓN Y CONTROL DE DOCUMENTOS DE RESPALDO CONTABLE</t>
  </si>
  <si>
    <t>SE REVISA Y VERIFICA QUE TODOS LOS DOCUMENTOS DE RESPALDO CONTABLE, COMO FACTURAS DE COMPRA (ELECTRÓNICAS O FÍSICAS) ESTÉN CORRECTAMENTE ARCHIVADAS Y VINCULADAS A LOS REGISTROS EN EL SISTEMA. SE CONTROLA QUE LA INFORMACIÓN SEA LEGIBLE, COMPLETA Y COINCIDA CON LOS ASIENTOS CONTABLES REALIZADOS.</t>
  </si>
  <si>
    <t>SAP-SRI</t>
  </si>
  <si>
    <t>ELABORACIÓN Y REVISIÓN DE PROVISIONES MENSUALES EN MULTINATIONAL</t>
  </si>
  <si>
    <t>SE ELABORAN Y REVISAN LAS PROVISIONES MENSUALES, CALCULANDO LOS MONTOS SEGÚN LOS INGRESOS PENDIENTES DE FACTURAR AL CIERRE DE MES.</t>
  </si>
  <si>
    <t>IMPLEMENTACIÓN DE MEJORAS EN PROCESOS CONTABLES</t>
  </si>
  <si>
    <t>SE IDENTIFICAN OPORTUNIDADES DE MEJORA EN LOS PROCESOS CONTABLES, ANALIZANDO FLUJOS DE TRABAJO, DETECCIÓN DE ERRORES Y RETRASOS. SE PROPONEN Y APLICAN AJUSTES O NUEVAS METODOLOGÍAS PARA RESOLUCION DE PROBLEMAS SURGEN EN LA PARTE CONTABLE.</t>
  </si>
  <si>
    <t>CAPACITACIÓN Y ASISTENCIA EN SAP A OTROS DEPARTAMENTOS</t>
  </si>
  <si>
    <t>SE BRINDA CAPACITACIÓN Y ASISTENCIA EN EL USO DE SAP A OTROS DEPARTAMENTOS, EXPLICANDO PROCESOS CONTABLES, FUNCIONALIDADES DEL SISTEMA Y PROCEDIMIENTOS PARA EL REGISTRO.</t>
  </si>
  <si>
    <t>SOPORTE EN ELABORACIÓN DE ATS</t>
  </si>
  <si>
    <t>REALIZAR LAS CORRECCIONES SOLICITADAS POR EL CONTADOR PARA LA ELABORACIÓN Y PRESENTACIÓN DEL ATS</t>
  </si>
  <si>
    <t>REUNIONES Y COMITÉS</t>
  </si>
  <si>
    <t>SE PARTICIPA EN REUNIONES Y COMITÉS, DISCUTIENDO ASUNTOS CONTABLES Y COORDINANDO ACCIONES CON OTROS DEPARTAMENTOS PARA DAR SEGUIMIENTO A PROCESOS, AJUSTES Y REPORTES CONTABLES.</t>
  </si>
  <si>
    <t> </t>
  </si>
  <si>
    <t>ANALISTA CONTABLE / FRUTA EXPORTADORAS</t>
  </si>
  <si>
    <t>ANDREA BOWEN</t>
  </si>
  <si>
    <t>DESCARGA DE DOCUMENTOS SRI FORMATO TXT , POSTERIOR CARGA EN SAP</t>
  </si>
  <si>
    <t>GENERAR Y CARGAR ARCHIVOS TXT CON INFORMACIÓN TRIBUTARIA DEL SRI EN NUESTRO SISTEMA SAP, CON EL FIN DE MANTENER ACTUALIZADA NUESTRA BASE DE DATOS REFERENTES A LOS DOCUMENTOS ELECTRONICOS.</t>
  </si>
  <si>
    <t>VALIDAR MATRIZ DE  DESCUENTOS POR CONCEPTO DE TRANSPORTE A PRODUCTORES BANANEROS</t>
  </si>
  <si>
    <t>VERIFICAR QUE LOS DESCUENTOS APLICADOS POR TRANSPORTE ESTÉN CORRECTAMENTE CALCULADOS Y REGISTRADOS, PARA NO RECIBIR NO CONFORMIDADES POR PARTE DE LOS PRODUCTORES.</t>
  </si>
  <si>
    <t>EXCEL</t>
  </si>
  <si>
    <t>ELABORAR Y ACTUALIZAR ARCHIVO DE CONTROL DE PROCESO PLÁTANO</t>
  </si>
  <si>
    <t>REGISTRAR Y MANTENER ACTUALIZADA LA INFORMACIÓN DEL PROCESO PRODUCTIVO DEL PLÁTANO EN BASE A LO PROCESADO EN LA SEMANA Y ACUERDOS DE CONTRATO.</t>
  </si>
  <si>
    <t>RECONCILIAR CUENTAS DE LOS PRODUCTORES DE PLÁTANO</t>
  </si>
  <si>
    <t>COMPARAR Y CUADRAR LOS SALDOS CONTABLES CON LOS REGISTROS DE LOS PRODUCTORES DE PLÁTANO.</t>
  </si>
  <si>
    <t>FACTURACIÓN REEMBOLSOS VARIOS A RELACIONADAS DE GRUPO TFE</t>
  </si>
  <si>
    <t>EMITIR FACTURAS POR REEMBOLSOS DE GASTOS COMPARTIDOS CON EMPRESAS RELACIONADAS DEL GRUPO.</t>
  </si>
  <si>
    <t>ANÁLISIS DE CUENTAS POR COBRAR, DESCUENTOS POR FACTURACIÓN DE MATERIALES Y PALETIZADO - PLÁTANO</t>
  </si>
  <si>
    <t>EVALUAR SALDOS PENDIENTES Y DESCUENTOS APLICADOS EN LA FACTURACIÓN DE MATERIALES Y PALETIZADO.</t>
  </si>
  <si>
    <t>CREACIÓN DE SOCIO DE NEGOCIO EN SAP - BANANO</t>
  </si>
  <si>
    <t>REGISTRAR NUEVOS CLIENTES O PROVEEDORES RELACIONADOS AL NEGOCIO BANANERO EN SAP.</t>
  </si>
  <si>
    <t>CREACIÓN DE ALMACÉN EN SAP - PLÁTANO</t>
  </si>
  <si>
    <t>CONFIGURAR Y REGISTRAR NUEVOS ALMACENES DE PLÁTANO EN EL SISTEMA SAP.</t>
  </si>
  <si>
    <t>ELABORAR Y ACTUALIZAR CONTROL DE PROCESO BANANO</t>
  </si>
  <si>
    <t>MONITOREAR Y ACTUALIZAR LA INFORMACIÓN OPERATIVA DEL PROCESO PRODUCTIVO DEL BANANO EN BASE A CAJAS PROCESADAS Y ACUERDOS ESTABLECIDOS</t>
  </si>
  <si>
    <t>DETALLE DE CXP BANANO</t>
  </si>
  <si>
    <t>PRESENTAR EL DETALLE ACTUALIZADO DE CUENTAS POR PAGAR A PROVEEDORES DE BANANO.</t>
  </si>
  <si>
    <t>RECONCILIAR CUENTAS DE LOS PRODUCTORES DE BANANO</t>
  </si>
  <si>
    <t>CONCILIAR REGISTROS CONTABLES CON LAS CUENTAS DE LOS PRODUCTORES DE BANANO.</t>
  </si>
  <si>
    <t>CONTESTACIÓN INCONFORMIDADES Y SOPORTE A PRODUCTORES BANANO</t>
  </si>
  <si>
    <t>ATENDER Y RESOLVER RECLAMOS O DUDAS DE LOS PRODUCTORES DE BANANO CON DOCUMENTACIÓN DE RESPALDO.</t>
  </si>
  <si>
    <t>GENERACIÓN DE TXT PLÁTANO (PAGO)</t>
  </si>
  <si>
    <t>ELABORAR EL ARCHIVO TXT PARA PROCESAR PAGOS A PRODUCTORES DE PLÁTANO, POSTERIOR ENVIO A FINANCIERO PARA LA APROBACIÓN DEL PAGO RESPECTIVO.</t>
  </si>
  <si>
    <t>CREACIÓN DE MBAN</t>
  </si>
  <si>
    <t>REGISTRAR CODIGO ASOCIADOS A COMPRAS DE MATERIA PRIMA EN SAP MEDIANTE MBAN.</t>
  </si>
  <si>
    <t>DESMONTAJES BANANO Y PLÁTANO</t>
  </si>
  <si>
    <t>REGISTRAR Y PROCESAR LA BAJA INVENTARIOS DE BANANO Y PLÁTANO.</t>
  </si>
  <si>
    <t>ANÁLISIS DE CARTERA CUENTAS POR COBRAR BANANO - PLATANO</t>
  </si>
  <si>
    <t>EVALUAR LA ANTIGÜEDAD Y ESTADO DE RECUPERACIÓN DE LOS SALDOS POR COBRAR.</t>
  </si>
  <si>
    <t>SISTEMA- EXCEL</t>
  </si>
  <si>
    <t>ANÁLISIS DE CARTERA CUENTAS POR PAGAR</t>
  </si>
  <si>
    <t>REVISAR EL ESTADO Y VENCIMIENTO DE LAS OBLIGACIONES POR PAGAR.</t>
  </si>
  <si>
    <t>EMISIÓN DE FACTURAS CORPORATIVO</t>
  </si>
  <si>
    <t>EMITIR FACTURAS POR SERVICIOS O VENTAS REALIZADAS A GRUPO TFE (SERVICIOS ADMINISTRATIVOS - ARRIENDO)</t>
  </si>
  <si>
    <t>ELABORACÓN DE INFORME COSTOS FRUTA SEMANAL</t>
  </si>
  <si>
    <t>CONSOLIDAR Y REPORTAR SEMANALMENTE LOS COSTOS ASOCIADOS A LA FRUTA.</t>
  </si>
  <si>
    <t>ELABORACIÓN DE INFORME RAINFOREST</t>
  </si>
  <si>
    <t>ELABORAR REPORTES DE CUMPLIMIENTO DE CAJAS REQUERIDOS POR RAINFOREST.</t>
  </si>
  <si>
    <t>RECLASIFICACIONES CONTABLES</t>
  </si>
  <si>
    <t>CORREGIR REGISTROS CONTABLES MEDIANTE EL CAMBIO DE CUENTAS O CENTROS DE COSTOS.</t>
  </si>
  <si>
    <t>REPORTE DE CUENTAS DE INGRESOS Y EGRESOS POR REEMBOLSOS</t>
  </si>
  <si>
    <t>PRESENTAR EL DETALLE DE INGRESOS Y EGRESOS GENERADOS POR REEMBOLSOS JUSTIFICANDO NOVEDADES</t>
  </si>
  <si>
    <t>ELABORACIÓN DE ANEXOS CONTABLES</t>
  </si>
  <si>
    <t>PREPARAR DOCUMENTACIÓN DE RESPALDO PARA LOS ESTADOS FINANCIEROS Y REPORTES CONTABLES.</t>
  </si>
  <si>
    <t>ENTREGA DE GUIAS DE REMISION A SUPERVISORES DE FINCA - ACOPIO PAN</t>
  </si>
  <si>
    <t xml:space="preserve">DISTRIBUIR LAS GUIAS DE REMISION NECESARIAS A LOS SUPERVISORES PARA EL TRASLADO DE FRUTA </t>
  </si>
  <si>
    <t>FISICO</t>
  </si>
  <si>
    <t>ASIGNACION DE PRECIOS EN MBAN</t>
  </si>
  <si>
    <t>REGISTRAR PRECIOS A CODIGOS ASOCIADOS A COMPRAS DE MATERIA PRIMA EN SAP, PREVIA SOLICITUD DEL DEPARTAMENTO DE SUPPLY</t>
  </si>
  <si>
    <t>ASISTENTE CONTABLE - EXPORTADORAS</t>
  </si>
  <si>
    <t>MARLY VILLAMAR</t>
  </si>
  <si>
    <t>SEGUIMIENTO DE  DOCUMENTOS PENDIENTES DE AUTORIZAR</t>
  </si>
  <si>
    <t>REMITIR, A TRAVÉS DE CORREO ELECTRÓNICO, UN INFORME DETALLADO SOBRE LOS DOCUMENTOS NO AUTORIZADOS O DEVUELTOS CORRESPONDIENTES A TFE Y TSER, EN FIN DE MES  INFORMAR AL CONTADOR DE EXPORTADORAS QUE NO EXSITAN NIGUN DOCUMENTO PENDIENTE.</t>
  </si>
  <si>
    <t>ELABORACIÓN DE REPORTE SEMANAL DE PLATANO</t>
  </si>
  <si>
    <t>DESCARGAR EL INFORME  DESDE EL SISTEMA SAP Y ELABORAR UN DETALLE DE LAS ENTRADAS ABIERTAS Y CERRADAS, INCLUYENDO EL PROVEEDOR Y EL NÚMERO DE CAJAS CORRESPONDIENTE A LA SEMANA EN CURSO.</t>
  </si>
  <si>
    <t>REGISTRO DE FACTURAS DE COMPRA DE FRUTA: PLATANO</t>
  </si>
  <si>
    <t>VERIFICAR Y REGISTRAR EN EL SISTEMA SAP LAS FACTURAS RECIBIDAS DE LOS PRODUCTORES MEDIANTE LAS ENTRADAS DE MERCANCIAS, ASEGURANDO QUE LA DOCUMENTACIÓN CORRESPONDA Y CONCUERDE CON EL CONTROL DE PLÁTANO.</t>
  </si>
  <si>
    <t>ARCHIVO DE DOCUMENTOS FISICOS</t>
  </si>
  <si>
    <t>ESCANEAR Y GUARDAR NOTA DE VENTA- FACTURAS - VALE-LIQUIDACION DE COMPRA FISICAS</t>
  </si>
  <si>
    <t>ADDONS</t>
  </si>
  <si>
    <t>REGISTRO DE FACTURAS DE EVENTUALES</t>
  </si>
  <si>
    <t>REVISAR LOS DOCUMENTOS FÍSICOS RECIBIDOS CONTRASTÁNDOLOS CON LA INFORMACIÓN DE LOS PEDIDOS REGISTRADOS Y EL REPORTE DE LAS JORNADAS PROPORCIONADO POR EL ÁREA DE OPERACIONES Y RRHH, PARA POSTERIORMENTE INGRESARLOS EN EL SISTEMA SAP Y GENERAR LA RETENCIÓN CORRESPONDIENTE.</t>
  </si>
  <si>
    <t>SAP/EXCEL</t>
  </si>
  <si>
    <t>REGISTRO DE FACTURAS DE SMART</t>
  </si>
  <si>
    <t>INGRESAR LAS FACTURAS CORRESPONDIENTES A LA SEMANA APLICABLE POR CONCEPTO DE MOVIMIENTO DE FRUTA, CONTENEDORES, MATERIALES Y ATMÓSFERA, VERIFICANDO QUE EL TOTAL DE CADA FACTURA COINCIDA CON EL REPORTE RECIBIDO PARA CADA UNO DE LOS CONCEPTOS MENCIONADOS.</t>
  </si>
  <si>
    <t>REGISTRO DE FACTURAS DE COMPAÑÍAS RELACIONADAS EN MLC</t>
  </si>
  <si>
    <t>INGRESAR EN EL SISTEMA SAP LAS FACTURAS RECIBIDAS A TRAVÉS DE LOS CORREOS ELECTRÓNICOS DE SMART Y CLSJ.</t>
  </si>
  <si>
    <t>LIQUIDACIÓN ONE BANANA INC</t>
  </si>
  <si>
    <t>REALIZAR EH INGRESAR  UNA LIQUIDACIÓN POR CADA FACTURA DEL EXTERIOR RECIBIDA POR LOS CONCEPTOS DE THC Y QUALITY SERVICE SOLICITADA POR LA ANALSITA DE CUENTAS POR COBRAR</t>
  </si>
  <si>
    <t>REGISTRO DE FACTURAS DE RECORRIDO</t>
  </si>
  <si>
    <t>REVISAR EL PEDIDO REALIZADO POR EL ÁREA RESPONSABLE, VERIFICANDO QUE GUARDE CONCORDANCIA CON LA DOCUMENTACIÓN RECIBIDA Y EL DETALLE PROPORCIONADO, PARA SU POSTERIOR INGRESO.</t>
  </si>
  <si>
    <t>LOTES DE ATIMASA</t>
  </si>
  <si>
    <t>INGRESAR LA FACTURA A SAP ARRASTRANDO EL PEDIDO REALIZADO POR EL ÁREA CORRESPONDIENTE. A MEDIDA QUE SE VA INGRESANDO LA FACTURA, VERIFICAR QUE LOS VALORES COINCIDAN.</t>
  </si>
  <si>
    <t>REGISTRO DE CAJA CHICA EL CARMEN</t>
  </si>
  <si>
    <t>REVISAR  LOS DOCUMENTOS FÍSICOS REMITIDOS POR LA SEDE EL CARMEN, CLASIFICARLOS EN UNA TABLA POR TIPO DE SERVICIO Y TOTALIZARLOS REGISTRAR EN SAP UN VALE POR LOS GASTOS INCURRIDOS.</t>
  </si>
  <si>
    <t>REGISTRO DE CAJA CHICA TSER</t>
  </si>
  <si>
    <t>REVISAR EL DETALLE PROPORCIONADO, SEPARANDO LOS GASTOS POR COLABORADOR E IDENTIFICANDO SI CORRESPONDEN A GDN O GND, PARA PROCEDER POSTERIORMENTE CON EL REGISTRO DE LOS GASTOS INCURRIDOS MEDIANTE UN VALE.</t>
  </si>
  <si>
    <t>FACTURAS  DE SERVICIOS GENERALES TSER</t>
  </si>
  <si>
    <t>INGRESAR LAS FACTURAS POR BIEN O SERVICIO MEDIANTE LA SOLPED, REVISAR QUE EL DOCUMENTO GENERADO CUADRE CON EL REPORTE DEL SRI.</t>
  </si>
  <si>
    <t>FACTURAS DE SERVICIOS GENERALES TFE</t>
  </si>
  <si>
    <t>DESCARGAR E INGRESAR LAS FACTURAS RECIBIDAS DEL SRI EN EL SISTEMA SAP, Y PROCEDER A GENERAR LA RETENCIÓN CORRESPONDIENTE SEGÚN APLIQUE.</t>
  </si>
  <si>
    <t>REGISTRO DE REEMBOLSO DE GASTOS DE SEGURIDAD</t>
  </si>
  <si>
    <t>IMPRIMIR EL CORREO ENVIADO POR EL DEPARTAMENTO RESPONSABLE UNA VEZ APROBADO. REVISAR EL ARCHIVO EXCEL COMPARTIDO EN LÍNEA, DONDE SE DETALLAN LOS GASTOS DE CADA SEMANA. INGRESAR LOS GASTOS EN SAP MEDIANTE UN VALE</t>
  </si>
  <si>
    <t>REGISTRO DE LIQUIDACION DE FC DEL EXTERIOR</t>
  </si>
  <si>
    <t>CONVERTIR EL TIPO DE MONEDA DEPENDIENTE DEL PAIS Y TASA DE CAMBIO PARA POSTERIOR EJECUTAR LA LIQUIDACION DE COMPRAS EN SAP PARA NACIONALIZAR LA FACTURA DEL EXTERIOR.</t>
  </si>
  <si>
    <t>ELABORACIÓN DE REPORTE DE  ADQUISICIONES DE ACTIVOS FIJOS</t>
  </si>
  <si>
    <t xml:space="preserve">ARMAR UN DETALLE QUE INDIQUE LOS DATOS DE LA COMPRA. UNA VEZ QUE EL ACTIVO ESTÉ OPERATIVO, PROCEDER CON UN ASIENTO DE RECLASIFICACIÓN. REALIZAR LA ETIQUETA DEL BIEN POSTERIOR ENVIO DEL ARCHIVO AL CONTADOR. </t>
  </si>
  <si>
    <t>INGRESO DE SOLICITUD DE NOTIFICACION DE FACTURA COMERCIAL NEGOCIABLE</t>
  </si>
  <si>
    <t>INGRESAR AL PORTAL DEL SRI, GENERAR LA NOTIFICACIÓN CON LOS DATOS PROPORCIONADOS Y CONFIRMAR EL PROCESO POR CORREO ELECTRÓNICO A LA ANALSITA DE CUENTAS POR COBRAR  Y CONTADOR QUIEN RECIBE LAS NOTIFICACIONES DEL SRI.</t>
  </si>
  <si>
    <t>CREACIÓN DE SOCIOS DE NEGOCIOS</t>
  </si>
  <si>
    <t>INGRESAR A SAP Y CREAR LOS SOCIOS DE NEGOCIOS CON LOS DATOS PROPORCIONADOS POR CORREO ELECTRÓNICO. VERIFICAR EL RUC EN EL PORTAL DEL SRI Y CONSULTAR EL TIPO DE RÉGIMEN TRIBUTARIO QUE APLICA, A FIN DE INGRESAR EL PORCENTAJE DE RETENCIÓN CORRESPONDIENTE.</t>
  </si>
  <si>
    <t>SAP/SRI</t>
  </si>
  <si>
    <t>FACTURAS POR HONORARIOS</t>
  </si>
  <si>
    <t>REVISAR Y CONTABILIZAR EN SAP LAS FACTURAS POR SERVICIOS PROFESIONALES, GARANTIZANDO LA CONSISTENCIA ENTRE LA INFORMACIÓN PROPORCIONADA POR TALENTO HUMANO, LA SOLICITUD DE COMPRA Y EL COMPROBANTE RECIBIDO.</t>
  </si>
  <si>
    <t>NOTAS DE VENTA SAMBORONDON</t>
  </si>
  <si>
    <t>REGISTRAR EL DOCUMENTO RECIBIDO CRUZANDO CON EL PEDIDO CON LA INFORMACION PROPORCIONADA POR RRHH</t>
  </si>
  <si>
    <t>ASIENTOS DE RECLASIFICACIÓN</t>
  </si>
  <si>
    <t>SE REALIZA LA RECLASIFICACIÓN CORRESPONDIENTE DE LA CUENTA CONTABLE APLICADA PREVIA AUTORIZACIÓN DEL CONTADOR, EN CASO DE QUE UN BIEN SEA ACTIVADO, NO SE HAYA UTILIZADO LA CUENTA CORRECTA O SE TRATE DE LA ACTIVACIÓN DE UNA OBRA O LA ADQUISICIÓN DE UN ACTIVO.</t>
  </si>
  <si>
    <t>REGISTRO DE GASTOS DE ARROZ PAN/ ISLA</t>
  </si>
  <si>
    <t>SE REGISTRAN EN SAP LAS FACTURAS RELACIONADAS CON LOS GASTOS DE LA COSECHA DE ARROZ. SE MANTIENE UN CONTROL COORDINADO CON EL ÁREA DE TESORERÍA, MEDIANTE CORREO ELECTRÓNICO, PARA GESTIONAR LA CANCELACIÓN CON LOS ANTICIPOS ENTREGADOS.</t>
  </si>
  <si>
    <t>ELABORACIÓN DE REPORTE CONSOLIDADO DE PLATANO Y BANANO PARA FACTURACIÓN</t>
  </si>
  <si>
    <t>SE DESCARGA EL REPORTE SEMANAL DEL FTL PARA ELABORAR UNA TABLA DINÁMICA EN EXCEL, EN LA CUAL SE INCLUYAN LOS DATOS NECESARIOS PARA EL PROCESO DE FACTURACIÓN.</t>
  </si>
  <si>
    <t>FTL</t>
  </si>
  <si>
    <t>SOPORTE A LA CREACIÓN DE PEDIDO</t>
  </si>
  <si>
    <t>SE REALIZA EL SEGUIMIENTO A LA CREACIÓN DE PEDIDOS EN SAP, PROPORCIONANDO EL NÚMERO DE ARTÍCULO, LA CUENTA CONTABLE  EL DEPARTAMENTO CORRESPONDIENTE.</t>
  </si>
  <si>
    <t>SEGUIMIENTO DE ANULACIONES DEL SRI CON PROVEEDORES</t>
  </si>
  <si>
    <t>SE MANTIENE COMUNICACIÓN CON EL PROVEEDOR PARA GESTIONAR LA ANULACIÓN O ACEPTACIÓN DE LA VALIDACIÓN DE LOS COMPROBANTES DE RETENCIÓN, YA SEA VÍA TELEFÓNICA O MEDIANTE CORREO ELECTRÓNICO.</t>
  </si>
  <si>
    <t>APOYO EN LA EMISION DE FACTURAS EN MLC</t>
  </si>
  <si>
    <t>SE EMITEN FACTURAS SEMANALES POR LA VENTA DE PLÁTANO Y BANANO DESTINADAS A CLIENTES EN EL EXTERIOR. SE TRABAJA EN COORDINACIÓN CON EL REPORTE DE TRÁMITES, LA CONSOLIDACIÓN  DEL FTL Y LOS PRECIOS ESTABLECIDOS EN CONJUNTO CON EL DEPARTAMENTO RESPONSABLE.</t>
  </si>
  <si>
    <t>SAP/FTL/EXCEL</t>
  </si>
  <si>
    <t>CONSOLIDADO DE MLC</t>
  </si>
  <si>
    <t>SE ELABORA UN DETALLE CONSOLIDADO DE LAS FACTURAS DE COMPRA REGISTRADAS EN SAP MLC, COMPARÁNDOLAS CON EL REPORTE DE LAS COMPAÑÍAS RELACIONADAS MLC Y CLSJ.</t>
  </si>
  <si>
    <t>HEIDY ALVARADO</t>
  </si>
  <si>
    <t>REGISTRO DE FACTURAS BANANO</t>
  </si>
  <si>
    <t>REGISTRAR LAS FC EN SAP COMPARANDO PRECIOS Y NÚMERO DE CAJAS EN EL CONTROL DE BANANO FRENTE A LO FACTURADO POR LOS PRODUCTORES. SE VERIFICAN QUE LAS ENTRADAS CORRESPONDAN A CADA SEMANA Y SE PROCEDE CON EL REGISTRO.</t>
  </si>
  <si>
    <t>FACTURACIÓN REEMBOLSOS BANANO</t>
  </si>
  <si>
    <t>SE DESCARGA ARCHIVOS ENVIADOS POR SMART AL CORREO CON EL DETALLE DE LOS DESCUENTOS (MOV FRUTA - MATERIALES - CONTENEDORES - FLETE FALSO - STAND BY - NIC COI) SE ARMA TABLAS DINÁMICAS PARA COMPROBAR CON EL CONTROL DE BANANO QUE LOS VALORES DESCONTADOS A LOS PRODUCTORES SEAN LOS CORRECTOS Y QUE LA FACTURACION POR SMART COINCIDA EN TOTALES. SE COPIA EL DETALLE DE LAS TABLAS AL ARCHIVO DE LA PLANTILLA MODIFICANDO PESTAÑAS DE CABECERA Y DETALLE PARA LA RESPECTIVA CARGA POR DATATRANSFER.</t>
  </si>
  <si>
    <t>SISTEMA - EXCEL</t>
  </si>
  <si>
    <t>FACTURACIÓN REEMBOLSO PALETIZADO PLÁTANO</t>
  </si>
  <si>
    <t>PROCESAR REEMBOLSOS POR PALETIZADO DE PLÁTANO GENERANDO FACTURAS EN SAP TRAS VALIDAR INFORMACIÓN CON ARCHIVOS ENVIADOS POR EL ÁREA CORRESPONDIENTE.</t>
  </si>
  <si>
    <t>FACTURACIÓN MATERIALES PLÁTANO</t>
  </si>
  <si>
    <t>REGISTRAR FACTURACIÓN DE MATERIALES EN SAP CRUZANDO ENTRADAS DE MERCANCÍA CON INFORMACIÓN ENVIADA Y VERIFICANDO CONDICIONES DE PAGO Y TOTALES.</t>
  </si>
  <si>
    <t>FACTURACIÓN MATERIALES BANANO</t>
  </si>
  <si>
    <t>EJECUTAR FACTURACIÓN EN SAP, VERIFICANDO COHERENCIA ENTRE LAS ENTRADAS DE MERCANCÍA Y LOS VALORES DEL ARCHIVO RECIBIDO.</t>
  </si>
  <si>
    <t>FACTURACIÓN DIFERENCIA DE PRECIO PLÁTANO</t>
  </si>
  <si>
    <t>GENERAR FACTURAS MEDIANTE PLANTILLAS Y DATATRANSFER, GARANTIZANDO EL CRUCE CORRECTO ENTRE VENTAS - COMPRAS Y GENERANDO LA FACTURACION POR REEMBOLSOS EN SAP.</t>
  </si>
  <si>
    <t>DESCUENTOS POR TRANSPORTE SMART</t>
  </si>
  <si>
    <t>ELABORAR CUADRO DE DESCUENTOS DE TRANSPORTE PARA PRODUCTORES BANANEROS, CONSOLIDANDO VALORES SEGÚN MOVIMIENTOS POR CAMION Y CONTENEDORES</t>
  </si>
  <si>
    <t>GENERACIÓN TXT</t>
  </si>
  <si>
    <t>GENERAR ARCHIVOS TXT DE PAGOS A PRODUCTORES SEGÚN LA PROGRAMACIÓN Y CONTROL DE BANANO, NOTIFICANDO A TESORERÍA ANTE CUALQUIER VARIACIÓN DETECTADA.</t>
  </si>
  <si>
    <t>INFORME DE COMPRAS TFE-TSER</t>
  </si>
  <si>
    <t>DESCARGAR Y DISTRIBUIR DIARIAMENTE EL REPORTE DEL SRI PARA EL INGRESO OPORTUNO DE FACTURAS Y NOTIFICACIÓN A LOS DEPARTAMENTOS INVOLUCRADOS.</t>
  </si>
  <si>
    <t>REGISTRO DE NC PRODUCTORES BANANEROS</t>
  </si>
  <si>
    <t>REGISTRAR NOTAS DE CRÉDITO EMITIDAS POR PRODUCTORES GARANTIZANDO LA CORRECTA CONTABILIZACIÓN EN SAP.</t>
  </si>
  <si>
    <t>DATOS DE FACTURACIÓN PRODUCTORES BANANEROS</t>
  </si>
  <si>
    <t>REMITIR LA INFORMACIÓN DE FACTURACIÓN GENERADA A CADA PRODUCTOR BANANERO, ASEGURANDO CLARIDAD Y TRANSPARENCIA EN LOS DATOS ENVIADOS.</t>
  </si>
  <si>
    <t>ENVÍO DE LIQUIDACIONES A PRODUCTORES BANANEROS</t>
  </si>
  <si>
    <t>ENVIAR A LOS PRODUCTORES BANANEROS LOS DOCUMENTOS DE LIQUIDACIÓN CORRESPONDIENTES, DETALLANDO INGRESOS Y DESCUENTOS APLICADOS.</t>
  </si>
  <si>
    <t>INGRESO DE RTE ELECTRONICAS TSER Y TFE</t>
  </si>
  <si>
    <t>REGISTRAR RETENCIONES ELECTRÓNICAS EMITIDAS POR CLIENTES EN LOS SISTEMAS TFE Y TSER, GARANTIZANDO SU CORRECTA IMPUTACIÓN CONTABLE.</t>
  </si>
  <si>
    <t>DEVOLUCIÓN O CIERRE DE ENTRADAS SOBRANTES BANANO</t>
  </si>
  <si>
    <t>REALIZAR EL CIERRE O DEVOLUCIÓN DE ENTRADAS DE MERCANCÍA SOBRANTE DE BANANO PREVIA INDICACION DEL AREA DE SUPPLY  EN SAP ASEGURANDO LA CONCILIACIÓN CON LA FACTURACIÓN REAL.</t>
  </si>
  <si>
    <t>SEGUIMIENTO EN CIERRE DE MES SEGÚN REPORTE SRI (TFE-TSER)</t>
  </si>
  <si>
    <t>VERIFICAR Y GESTIONAR EL INGRESO DE DOCUMENTOS PENDIENTES ANTES DEL CIERRE MENSUAL CONFORME AL REPORTE SRI DE TFE Y TSER.</t>
  </si>
  <si>
    <t>SEGUIMIENTO DE DOCUMENTOS POR ANULAR EN SRI (TFE-TSER)</t>
  </si>
  <si>
    <t>IDENTIFICAR Y NOTIFICAR DOCUMENTOS PENDIENTES DE ANULACIÓN EN EL SRI A LAS ÁREAS CORRESPONDIENTES PARA SU GESTIÓN OPORTUNA.</t>
  </si>
  <si>
    <t>SEGUIMIENTO DE ACEPTACION DE ANULACIÓN EN SRI (TFE-TSER)</t>
  </si>
  <si>
    <t>DAR SEGUIMIENTO Y COMUNICAR A LOS DEPARTAMENTOS RESPONSABLES SOBRE DOCUMENTOS PENDIENTES DE ACEPTACIÓN DE ANULACIÓN EN EL SRI.</t>
  </si>
  <si>
    <t>ARCHIVO DIGITAL</t>
  </si>
  <si>
    <t xml:space="preserve">GUARDAR FC - RTE - NC - LIQUIDACION DE PRODUCTORES PARA FUTURAS AUDITORIAS </t>
  </si>
  <si>
    <t>ARCHIVO DE GUIAS</t>
  </si>
  <si>
    <t>GUARDAR GUIAS DE REMISION EN CARPETAS SEGUN SERIE PARA FUTURAS REVISIONES.</t>
  </si>
  <si>
    <t>SOPORTE DE REEMBOLSOS</t>
  </si>
  <si>
    <t>ENVIAR FACTURAS SOPORTES POR DESCUENTO DE TRANSPORTE CON DETALLE DE CAJAS Y PRECIOS A CADA PRODUCTOR SEGUN LO FACTURADO POR REEMBOLSO</t>
  </si>
  <si>
    <t>CONTADORA OTRAS COMPAÑIAS</t>
  </si>
  <si>
    <t>GISSELA VILLEGAS</t>
  </si>
  <si>
    <t>REVISIÓN DEL STATUS TRIBUTARIO PALEC SA - AGROSELVATICA SAS - GRUPO JAFM</t>
  </si>
  <si>
    <t xml:space="preserve">VALIDACIÓN DIARIAMENTE EL CUMPLIMIENTO DE LAS OBLIGACIONES, NOTIFICACIONES Y REQUERIMIENTOS O EMISIONES DE NC DESMATERIALIZADAS </t>
  </si>
  <si>
    <t>SISTEMA - EXCEL - PLATAFORMAS ESTALES</t>
  </si>
  <si>
    <t>ANÁLISIS Y CONTROL DE CUENTAS CONTABLES</t>
  </si>
  <si>
    <t>REVISAR, ANALIZAR Y CONTROLAR LOS SALDOS DE LAS CUENTAS CONTABLES DEL PLAN DE CUENTAS, VERIFICANDO SU CORRECTA CLASIFICACIÓN, REGISTRO Y CONCILIACIÓN. DETECTAR INCONSISTENCIAS, REALIZA LOS AJUSTES NECESARIOS</t>
  </si>
  <si>
    <t xml:space="preserve">SISTEMA - EXCEL </t>
  </si>
  <si>
    <t xml:space="preserve">SUPERVISIÓN AL PERSONAL CONTABLE </t>
  </si>
  <si>
    <t>SUPERVISAR Y ORIENTAR AL PERSONAL DEL ÁREA CONTABLE EN LA EJECUCIÓN DE LAS ACTIVIDADES ASIGNADAS, GARANTIZANDO EL CUMPLIMIENTO DE LOS PROCEDIMIENTOS ESTABLECIDOS Y LA CALIDAD DE LA INFORMACIÓN.</t>
  </si>
  <si>
    <t>SOPORTE AL DEPARTAMENTO DE PRODUCCIÓN</t>
  </si>
  <si>
    <t>BRINDAR APOYO CONTABLE AL DEPARTAMENTO DE PRODUCCIÓN, VERIFICANDO CONSUMOS DE MATERIALES.</t>
  </si>
  <si>
    <t>REUNIONES DE INTERNAS DE LA EMPRESA</t>
  </si>
  <si>
    <t>PARTICIPAR EN LAS REUNIONES INTERNAS DE LA EMPRESA, COLABORAR EN LA PLANIFICACIÓN DE ACCIONES DERIVADAS DE DICHAS REUNIONES.</t>
  </si>
  <si>
    <t>REGISTRO DE PROVISIONES DE TRANSPORTE DE CONTENEDORES -MATERIALES , ENERGIA ELÉCTRICA</t>
  </si>
  <si>
    <t>REGISTRO CONTABLE DE PROVISIONES RELACIONADAS A LA OPERACIÓN QUE POR CIERRE SON FACTURADAS EL SIGUIENTE</t>
  </si>
  <si>
    <t>ANÁLISIS DE LAS COMPRAS Y VENTAS REALIZADAS</t>
  </si>
  <si>
    <t>REVISAR, CLASIFICAR Y ANALIZAR LAS TRANSACCIONES DE COMPRAS Y VENTAS REGISTRADAS, VERIFICANDO SU CORRECTA CONTABILIZACIÓN, DOCUMENTACIÓN DE RESPALDO Y CUMPLIMIENTO TRIBUTARIO; ELABORAR REPORTES</t>
  </si>
  <si>
    <t>ELABORACIÓN Y PRESENTACIÓN MENSUAL DE IMPUESTOS PALEC SA - AGROSELVATICA SAS</t>
  </si>
  <si>
    <t>ELABORAR, REVISAR Y PRESENTAR LAS DECLARACIONES MENSUALES DE IMPUESTOS ANTE EL SRI, ASEGURANDO EL CUMPLIMIENTO DE LAS OBLIGACIONES TRIBUTARIAS EN LOS PLAZOS ESTABLECIDOS.</t>
  </si>
  <si>
    <t>ELABORACIÓN Y PRESENTACIÓN MENSUAL DE IMPUESTOS GRUPO JAFM</t>
  </si>
  <si>
    <t>ELABORACIÓN Y PRESENTACIÓN DE ANEXOS MENSUALES</t>
  </si>
  <si>
    <t>ELABORA, REVISA Y PRESENTA LOS ANEXOS MENSUALES REQUERIDOS POR EL SERVICIO DE RENTAS INTERNAS (SRI), TALES COMO  (ATS, ADI, REBEFICS</t>
  </si>
  <si>
    <t>REGISTRO DE NÓMINA Y REVISIÓN DE CUENTAS</t>
  </si>
  <si>
    <t>CONTABILIZACIÓN DEL DIARIO DE EVOLUTION, VERIFICANDO SU CORRECTA CONTABILIZACIÓN Y CONCILIACIÓN CON LAS RESPECTIVAS PLANILLAS DEL IESS</t>
  </si>
  <si>
    <t>CONTROL DE DEPRECIACIONES</t>
  </si>
  <si>
    <t>CALCULAR, REGISTRAR Y CONTROLAR LA DEPRECIACIÓN DE LOS ACTIVOS FIJOS CONFORME A LAS NORMAS CONTABLES Y TRIBUTARIAS VIGENTES, ASEGURANDO QUE LOS VALORES REFLEJADOS EN LOS ESTADOS FINANCIEROS SEAN PRECISOS Y ACTUALIZADOS. ELABORA REPORTES MENSUALES</t>
  </si>
  <si>
    <t>CONTROL DE AMORTIZACIONES</t>
  </si>
  <si>
    <t>REGISTRAR, CALCULAR Y CONTROLAR LAS AMORTIZACIONES DE ACTIVOS INTANGIBLES, DIFERIDOS Y OTROS RUBROS SUJETOS A ESTE TRATAMIENTO</t>
  </si>
  <si>
    <t>ELABORACIÓN DE ESTADOS FINANCIEROS PALEC SA - AGROSELVATICA SAS</t>
  </si>
  <si>
    <t>PREPARAR, REVISAR Y PRESENTAR LOS ESTADOS FINANCIEROS PALEC SA - AGROSELVATICA SAS</t>
  </si>
  <si>
    <t>ELABORACIÓN DE ESTADOS FINANCIEROS GRUPO JAFM</t>
  </si>
  <si>
    <t>PREPARAR, REVISAR Y PRESENTAR LOS ESTADOS FINANCIEROS SANTA CLARITA SAS- ADMINTROP SA-TRADERLOGISTICS SA-JAFM</t>
  </si>
  <si>
    <t>TOMA FÍSICA DE INVENTARIO</t>
  </si>
  <si>
    <t>COORDINAR Y EJECUTAR LA TOMA FÍSICA DE INVENTARIOS DE BIENES, MATERIALES Y SUMINISTROS, VERIFICANDO SU EXISTENCIA, ESTADO Y COINCIDENCIA CON LOS REGISTROS CONTABLES. IDENTIFICAR DIFERENCIAS Y EMITIR INFORMES CON LOS AJUSTES NECESARIOS PARA MANTENER LA EXACTITUD</t>
  </si>
  <si>
    <t>PC - PATIO</t>
  </si>
  <si>
    <t>REPORTE DE CAPEX</t>
  </si>
  <si>
    <t>ELABORAR Y ACTUALIZAR LOS REPORTES DE INVERSIÓN EN ACTIVOS FIJOS (CAPEX), CONSOLIDANDO LA INFORMACIÓN DE PROYECTOS EJECUTADOS Y EN CURSO</t>
  </si>
  <si>
    <t>DETALLE DE IMPUESTOS POR RECUPERAR</t>
  </si>
  <si>
    <t>IDENTIFICAR, REGISTRAR Y CONTROLAR LOS VALORES DE IMPUESTOS POR RECUPERAR DERIVADOS DE RETENCIONES, CRÉDITOS TRIBUTARIOS Y DEVOLUCIONES PENDIENTES ANTE EL SRI.</t>
  </si>
  <si>
    <t xml:space="preserve">DOCUMENTACIÓN DEVOLUCIÓN DE IMPUESTOS PALEC SA - AGROSELVTICA SAS </t>
  </si>
  <si>
    <t>RECOPILAR Y VERIFICAR LA DOCUMENTACIÓN SOPORTE CORRESPONDIENTE. ELABORAR LOS FORMATOS REQUERIDOS POR EL SRI</t>
  </si>
  <si>
    <t>DOCUMENTACIÓN DEVOLUCIÓN DE IMPUESTOS SANTA CLARITA SAS</t>
  </si>
  <si>
    <t>REGISTRO CONTABLE DE OBLIGACIONES BANCARIAS</t>
  </si>
  <si>
    <t>CONTABILIZAR LAS OBLIGACIONES BANCARIAS DE ACUERDO A LA TABLA DE AMORTIZACIÓN Y RECONOCIENDO LA PORCIÓN CORRIENTE Y NO CORRIENTE</t>
  </si>
  <si>
    <t>GESTIÓN DEL CIERRE CONTABLE DE CUENTAS POR PAGAR</t>
  </si>
  <si>
    <t>SUPERVISAR Y EJECUTAR EL PROCESO DE CIERRE CONTABLE DE LAS CUENTAS POR PAGAR, VERIFICANDO LA CORRECTA CONTABILIZACIÓN DE FACTURAS, RETENCIONES, PROVISIONES Y PAGOS EFECTUADOS.</t>
  </si>
  <si>
    <t>GESTIÓN DEL CIERRE CONTABLE DE CUENTAS POR COBRAR</t>
  </si>
  <si>
    <t>COORDINAR Y EJECUTAR EL PROCESO DE CIERRE CONTABLE DE LAS CUENTAS POR COBRAR, VERIFICANDO LA CORRECTA CONTABILIZACIÓN DE INGRESOS, ANTICIPOS Y COBRANZAS.</t>
  </si>
  <si>
    <t>HOJA DE COSTOS PALEC SA</t>
  </si>
  <si>
    <t>ELABORAR Y ACTUALIZAR LA HOJA DE COSTOS DE PRODUCTOS VERIFICANDO LOS COMPONENTES DEL COSTO (MATERIALES, MANO DE OBRA Y GASTOS INDIRECTOS) PARA DETERMINAR EL COSTO TOTAL Y UNITARIO</t>
  </si>
  <si>
    <t>HOJA DE COSTOS AGROSELVATICA SAS</t>
  </si>
  <si>
    <t>REPORTE DE RACIMOS AGROSELVATICA SAS</t>
  </si>
  <si>
    <t>CONSOLIDAR LA INFORMACIÓN  DE RACIMOS COSECHADOS</t>
  </si>
  <si>
    <t>HOJA DE COSTOS SANTA CLARITA SAS</t>
  </si>
  <si>
    <t>ATENCIÓN A REQUERIMIENTOS DE AUDITORES EXTERNOS</t>
  </si>
  <si>
    <t>ATENDER Y COORDINAR LOS REQUERIMIENTOS DE INFORMACIÓN FORMULADOS POR LOS AUDITORES EXTERNOS DURANTE LOS PROCESOS DE REVISIÓN CONTABLE Y FINANCIERA. PREPARA Y ENTREGA LA DOCUMENTACIÓN SOLICITADA, BRINDAR SOPORTE TÉCNICO SOBRE LOS REGISTROS CONTABLES.</t>
  </si>
  <si>
    <t>Semestral</t>
  </si>
  <si>
    <t>REVISIÓN DEL ANEXO RDEP</t>
  </si>
  <si>
    <t>REVISAR Y VALIDAR LA INFORMACIÓN CONTENIDA EN EL ANEXO DE RDEP, ASEGURANDO LA EXACTITUD DE LOS VALORES DECLARADOS POR CONCEPTO DE SUELDOS, RETENCIONES Y APORTES.</t>
  </si>
  <si>
    <t>FORMULARIO 101 DE PALEC SA - AGROSELVATICA SAS</t>
  </si>
  <si>
    <t>PREPARAR Y PRESENTAR EL FORMULARIO 101 – DECLARACIÓN DEL IMPUESTO A LA RENTA DE SOCIEDADES, RECOPILANDO LA INFORMACIÓN FINANCIERA Y TRIBUTARIA CORRESPONDIENTE AL EJERCICIO FISCAL. VERIFICAR LA CORRECTA CONCILIACIÓN ENTRE LOS ESTADOS FINANCIEROS, ANEXOS Y REGISTROS CONTABLES</t>
  </si>
  <si>
    <t xml:space="preserve">FORMULARIO 101 DE  GRUPO JAFM </t>
  </si>
  <si>
    <t>PREPARAR Y PRESENTAR EL FORMULARIO 101 – DECLARACIÓN DEL IMPUESTO A LA RENTA DE SOCIEDADES, RECOPILANDO LA INFORMACIÓN FINANCIERA Y TRIBUTARIA CORRESPONDIENTE AL EJERCICIO FISCAL. VERIFICAR LA CORRECTA CONCILIACIÓN ENTRE LOS ESTADOS FINANCIEROS, ANEXOS Y REGISTROS CONTABLES (SANTA CLARITA SAS - ADMINTROP SA - TRADERLOGISTICS SA - JAFM - QUIMERAFILMS SA)</t>
  </si>
  <si>
    <t>ELABORACIÓN DE INFORMACIÓN FINANCIERA Y CARGA A SUPERCIAS PALEC SA - AGROSELVATICA SAS</t>
  </si>
  <si>
    <t>PREPARAR Y CONSOLIDAR LA INFORMACIÓN FINANCIERA INSTITUCIONAL REQUERIDA POR LA SUPERINTENDENCIA DE COMPAÑÍAS, VALORES Y SEGUROS (SUPERCIAS), ASEGURANDO LA EXACTITUD Y CONSISTENCIA DE LOS DATOS. REALIZAR LA CARGA DE LOS ESTADOS FINANCIEROS Y ANEXOS EN EL PORTAL OFICIAL</t>
  </si>
  <si>
    <t>ELABORACIÓN DE INFORMACIÓN FINANCIERA Y CARGA A SUPERCIAS  GRUPO JAFM</t>
  </si>
  <si>
    <t>PREPARAR Y CONSOLIDAR LA INFORMACIÓN FINANCIERA INSTITUCIONAL REQUERIDA POR LA SUPERINTENDENCIA DE COMPAÑÍAS, VALORES Y SEGUROS (SUPERCIAS), ASEGURANDO LA EXACTITUD Y CONSISTENCIA DE LOS DATOS. REALIZAR LA CARGA DE LOS ESTADOS FINANCIEROS Y ANEXOS EN EL PORTAL OFICIAL (SANTA CLARITA SAS - ADMINTROP SA - TRADERLOGISTICS SA - QUIMERAFILMS SA)</t>
  </si>
  <si>
    <t>ASISTENTE CONTABLE</t>
  </si>
  <si>
    <t>ANDREA MIÑO</t>
  </si>
  <si>
    <t>FACTURACION A CLIENTES POR VENTAS DE PALLETS, REPROCESO Y RECHAZO DE MADERA.(PALECSA)</t>
  </si>
  <si>
    <t>REGISTRAR FACTURACIÓN DE LA VENTA EN SAP CRUZANDO ENTRADAS DE MERCANCÍA ENVIADAS Y VERIFICANDO QUE NO EXISTA DEVOLUCIONES Y EN CASO DE SER  CLIENTES EXTERNOS QUE LA MERCADERIA HAYA SIDO PAGADA.</t>
  </si>
  <si>
    <t>EMISION DE NOTAS DE CREDITOS  A CLIENTES.(PALECSA)</t>
  </si>
  <si>
    <t>ELABORACIÓN DE NOTAS DE CRÉDITO SEGÚN AJUSTES DE PRECIOS Y DEVOLUCIONES.</t>
  </si>
  <si>
    <t>REGISTRO DE LIQUIDACION DE COMPRAS .(PALECSA)</t>
  </si>
  <si>
    <t>REGRISTRAR EL EL SISTEMA SAP POR  SERVICIOS A TRABAJADORES EVENTUALES,</t>
  </si>
  <si>
    <t xml:space="preserve">SISTEMA Y TALONARIO </t>
  </si>
  <si>
    <t>REGISTRO DE  FACTURAS DE COMPRAS, NOTAS DE VENTAS  Y EMISION DE RETENCIONES (PALECSA Y AGROSELVATICA)</t>
  </si>
  <si>
    <t>REALIZAR EL REGISTRO DE FACTURAS DE COMPRAS Y NOTAS DE VENTA EN EL SISTEMA SAP, ASEGURANDO QUE LA INFORMACIÓN INGRESADA SEA CORRECTA. VERIFICAR QUE CADA FACTURA COINCIDA CON LA SOLICITUD DE PEDIDO (SOLPED), LA ORDEN DE COMPRA Y LA ENTRADA DE MERCANCÍA CORRESPONDIENTE, VALIDANDO PRECIOS, CANTIDADES Y CONDICIONES PACTADAS, CON EL OBJETIVO DE EVITAR DISCREPANCIAS CONTABLES O LOGÍSTICAS. ADEMAS SE DEBE CONFIRMAR QUE LA MERCADERÍA HAYA SIDO ENTREGADA Y REGISTRADA EN EL SISTEMA(MADERA Y PRODUCTOS INVENTARIABLES; EN CASO CONTRARIO, SE REPORTA  AL ÁREA RESPONSABLE PARA SU SEGUIMIENTO Y RESOLUCIÓN. CALCULO DE RETENCIONES POR COMPRAS SEGÚN LA NORMATIVA VIGENTE DEL SRI.</t>
  </si>
  <si>
    <t>SISTEMA- PORTAL DEL SRI</t>
  </si>
  <si>
    <t>REGISTRO  DE RETENCIONES (PALECSA Y AGROSELVATICA)</t>
  </si>
  <si>
    <t>INGRESO DE RETENCIONES POR VENTAS SEGÚN LA NORMATIVA VIGENTE DEL SRI.</t>
  </si>
  <si>
    <t>RECONCILIACION DE CUENTAS CONTABLES.(PALECSA Y AGROSELVATICA)</t>
  </si>
  <si>
    <t>ANALISIS DE CUENTAS, VERIFICACION DE REGISTROS Y SALDOS. ESTE PROCESO NOS PERMITE VER QUE NO EXISTAN DIFERENCIAS.</t>
  </si>
  <si>
    <t>PROVISIONES DE FACTURAS( PALECSA Y AGROSELVATICA)</t>
  </si>
  <si>
    <t>SE  REGISTRA PROVISIONES MENSUALES, SEGÚN LOS INGRESOS PENDIENTES DE FACTURAR AL CIERRE DE MES.</t>
  </si>
  <si>
    <t>REPORTE DE STOCK DE INVENTARIO, MATERIA PRIMA,FACTURACION, PTPA, RECETAS, CONSUMOS OF. (PALECSA)</t>
  </si>
  <si>
    <t>ELABORACION DE REPORTE SEMANAL QUE PERMITE VER EL COMPORTAMIENTO DE LAS BODEGAS Y A SU VEZ LA FACTURACION SEMANAL.</t>
  </si>
  <si>
    <t>CONCILIACION DE COMPRA Y VENTAS ENTRE RELACIONADAS(PALECSA)</t>
  </si>
  <si>
    <t>REALIZAR LA CONCILIACIÓN DE COMPRAS, VENTAS EN CUENTAS POR COBRAR Y PAGAR ENTRE COMPAÑÍAS RELACIONADAS, VERIFICANDO QUE LOS REGISTROS CONTABLES SEAN CORRECTOS, IDENTIFICANDO DIFERENCIAS Y REGISTRANDO  AJUSTES NECESARIOS</t>
  </si>
  <si>
    <t>SISTEMA Y EXCEL</t>
  </si>
  <si>
    <t>REPORTE HOJA DE COSTOS (PALECSA)</t>
  </si>
  <si>
    <t>ANALISIS DE COSTOS DE PRODUCCION, REPORTES DE EXISTENCIAS,PROCESOS, PRODUCCION,VENTAS, MOVIMIENTOS KARDEX E INVETARIO FINAL. ADICIONAL ESTE REPORTE NOS PERMITE VER EL ANALISIS DE COSTO, VOLUMEN Y UTILIDAD POR VENTA DE PALLETS EN COMPARACION DEL CIERRE ACTUAL CON EL CIERRE ANTERIOR.</t>
  </si>
  <si>
    <t>MANEJO DE CAJA CHICA PALECSA.(PALECSA)</t>
  </si>
  <si>
    <t>PROPORCIONAR UN VALE QUE DEBE SER FIRMADO POR LA PERSONA QUE VAYA A HACER USO DEL DINERO,  DAR SEGUIMIENTO AL DINERO ENTREGADO (RECEPCION DE SOPORTES ES DECIR FACTURAS O NV) ,REVISAR LOS DOCUMENTOS FÍSICOS ENTREGADOS, SEPARAR LOS GASTOS DEL COLABORADOR EN CASO DE QUE SEA GASTO NO DEDUCIBE, POSTERIORMENTE DAR DE BAJA A LA CAJA CHICA A TRAVES DE LA RECONCILIACION, REALIZAR ASIENTOS EN CASO DE QUE SEA NECESARIO.</t>
  </si>
  <si>
    <t>SOPORTE EN ELABORACION DE ATS.(PALECSA)</t>
  </si>
  <si>
    <t>VERIFICAR SI EL ATS PRESENTA ERRORES EN BASE A LOS REGISTROS Y REALIZAR LAS CORRECCIONES SOLICITADAS POR LA CONTADORA PARA  PRESENTACIÓN DEL ATS.</t>
  </si>
  <si>
    <t>SISTEMA Y SRI ATS</t>
  </si>
  <si>
    <t>SOPORTE EN AUDITORIAS (PALECSA, AGROSELVATICA Y SANTA CLARITA)</t>
  </si>
  <si>
    <t>DAR SOPORTE EN AUDITORIAS TRIBUTARIAS, RECOPILANDO LA INFORMACION SOLICITADA, INFORMES, CARTAS U OTROS DOCUMENTOS QUE REQUIERA EL AUDITOR.</t>
  </si>
  <si>
    <t>SISTEMA- EXCEL- WORD.</t>
  </si>
  <si>
    <t>RECLASIFICACIONES CONTABLES.(PALECSA)</t>
  </si>
  <si>
    <t>CORREGIR REGISTROS CONTABLES MEDIANTE EL CAMBIO DE CUENTAS.</t>
  </si>
  <si>
    <t>CREACION DE CLIENTES EN EL SISTEMA SAP.</t>
  </si>
  <si>
    <t>REGISTRAR CLIENTES RELACIONADO A LA COMPRA DE PALLETS Y VENTA DE RECHAZO DE MADERA, VIRUTA.</t>
  </si>
  <si>
    <t>CREACION DE CENTRO DE COSTOS.</t>
  </si>
  <si>
    <t>SE REALIZA LA CREACION DE LOS CENTROS DE COSTOS PREVIA AUTORIZACION.</t>
  </si>
  <si>
    <t>REPORTE DE CONSUMO DE PEAJE.</t>
  </si>
  <si>
    <t>ANALISIS DE CUENTA PEAJE PAG POR ANTICIPADO,SE DESCARGA EL ARCHIVO DE PASADAS MENSUALES, ELABORACION DE TABLA DINAMICA POR PLACAS, POSTERIOR SE PROCEDE A REVISAR QUE NO HAYA DIFERENCIAS ENTRE LAS PASADAS DEL MES ANTERIOR Y EL ACTUAL. LUEGO DEL ANALISIS SE PROCEDE A REGISTRAR EN EL SISTEMA EL ASIENTO CONTABLE.</t>
  </si>
  <si>
    <t>SISTEMA/PAGINAS DE PEAJE/ EXCEL.</t>
  </si>
  <si>
    <t>REPORTE DE ALIMENTACION COLABORADORES.</t>
  </si>
  <si>
    <t>LLEVAR EL CONTROL Y ELABORACIÓN DEL REPORTE MENSUAL DE ALIMENTACIÓN DE LOS COLABORADORES, TANTO DE PLANTA COMO ADMINISTRATIVOS, ASEGURANDO QUE LOS CONSUMOS REGISTRADOS COINCIDAN CON LO EFECTIVAMENTE FACTURADO.</t>
  </si>
  <si>
    <t>CREACIÓN Y ACTUALIZACIÓN DE ARTÍCULOS.(PALECSA, AGROSELVATICA Y SANTA CLARITA)</t>
  </si>
  <si>
    <t>REALIZAR LA CREACIÓN DE ARTICULOS DE BIENES O SERVICIOS  EN SAP, ACTUALIZAR ARTICULOS EN CASO DE QUE EL AREA DE COMPRAS LO REQUIERA. VERIFICAR QUE LA CUENTA CONTABLE SEA LA CORRECTA.</t>
  </si>
  <si>
    <t>INVENTARIO MENSUAL DE PRODUCTO TERMINADO (PALLETS), MATERIA PRIMA Y MERMA Y BODEGA 01 SUMINISTROS.</t>
  </si>
  <si>
    <t>REALIZAR EL CONTEO FÍSICO DE LOS DIFERENTES TIPOS DE MADERA, CLASIFICADOS POR CATEGORÍA Y TAMAÑO, INCLUYENDO EL REGISTRO DE PALLETS Y MADERA RECHAZADA, ASEGURANDO QUE LA INFORMACIÓN INGRESADA EN EL SISTEMA COINCIDA CON EL INVENTARIO FÍSICO, CON EL FIN DE MANTENER UN CONTROL PRECISO Y ACTUALIZADO DE EXISTENCIAS EN LAS BODEGAS.</t>
  </si>
  <si>
    <t>EXCEL Y HOJAS</t>
  </si>
  <si>
    <t>PATIOS</t>
  </si>
  <si>
    <t>ARCHIVO FISICO Y DIGITAL(PALECSA Y AGROSELVATICA)</t>
  </si>
  <si>
    <t xml:space="preserve">GUARDAR Y ARCHIVAR LAS GUÍAS DE REMISIÓN, ASOCIANDO CORRECTAMENTE LOS NÚMEROS DE FACTURA CORRESPONDIENTES, CON EL FIN DE CONTAR CON UN RESPALDO DISPONIBLE PARA FUTURAS REVISIONES O AUDITORÍAS. GUARDAR FACTURAS,RETENCIONES, NC, LIQUIDACIONES PARA FUTURAS AUDITORIAS. </t>
  </si>
  <si>
    <t>FACTURACION A CLIENTES POR VENTA DE BANANO.(AGROSELVATICA)</t>
  </si>
  <si>
    <t>VERIFICAR QUE LA CANTIDAD DE CAJAS DE PLÁTANO COINCIDA ENTRE LO REPORTADO POR EL ÁREA DE PRODUCCIÓN DE LA EMPACADORA Y LA LABOR DE CAMPO FACTURADA, ASEGURANDO LA INFORMACIÓN ANTES DE PROCEDER CON EL PROCESO DE FACTURACIÓN EN EL SISTEMA SAP.</t>
  </si>
  <si>
    <t>REGISTRO DE  FACTURAS DE COMPRAS, NOTAS DE VENTAS.(GRUPO JAFM)</t>
  </si>
  <si>
    <t>REALIZAR EL REGISTRO DE FACTURAS DE COMPRAS Y NOTAS DE VENTA EN EL SISTEMA SAP, ASEGURANDO QUE LA INFORMACIÓN INGRESADA SEA CORRECTA. ES FUNDAMENTAL VERIFICAR EL TIPO DE COMPRA, ESPECIALMENTE EN CASOS DE FERTILIZANTES, FOLIARES O PRODUCTOS QUÍMICOS, PARA UTILIZAR CORRECTAMENTE LA CUENTA CONTABLE CORRESPONDIENTE Y EVITAR DESVIACIONES. ASIMISMO, SE DEBE CONSULTAR Y CONFIRMAR SI LAS COMPRAS Y LOS  SERVICIOS DE MANTENIMIENTO HAN SIDO EFECTIVAMENTE REALIZADOS Y ENTREGADOS.</t>
  </si>
  <si>
    <t>REGISTRO DE RETENCIONES POR VENTAS (GRUPO JAFM)</t>
  </si>
  <si>
    <t>SE REALIZA EL REGISTRO EN EL SITEMA SAP VERIFICANDO QUE LOS MONTOS SEAN ACORDES A LA NORMATIVA VIGENTE DEL SRI, DAR SEGUIMIENTO DE QUE TODAS LAS FACTURAS TENGAN SU RETENCION.</t>
  </si>
  <si>
    <t>CREACION DE SOCIOS DE NEGOCIOS.(PALECSA Y AGROSELVATICA)</t>
  </si>
  <si>
    <t>REGISTRAR NUEVOS PROVEEDORES EN EL SISTEMA SAP, SEGUN LOS DOCUMENTOS FISICOS APROBADOS POR EL ENCARGADO DE FINCA.</t>
  </si>
  <si>
    <t>CREACION DE SOCIOS DE NEGOCIOS.(GRUPO JAFM)</t>
  </si>
  <si>
    <t>REGISTRAR CLIENTES RELACIONADOS A LA COMPRA DE PLATANO Y RECHAZO DE PLATANO.</t>
  </si>
  <si>
    <t>CONCILIACION DE COMPRA Y VENTAS ENTRE RELACIONADAS(AGROSELVATICA)</t>
  </si>
  <si>
    <t>ELABORACION DE GUIAS ELECTRONICAS( SANTA CLARITA)</t>
  </si>
  <si>
    <t>CREACION DE GUIAS DE REMISION ELECTRONICAS PARA EL DESPACHO DE LA MERMA, SE REALIZA LA CONVERSION DE SACOS A KG</t>
  </si>
  <si>
    <t>FACTURACION A CLIENTES POR VENTA DE PLATANO Y MERMA DE PLATANO</t>
  </si>
  <si>
    <t>VERIFICAR QUE LA CANTIDAD DE CAJAS DE PLÁTANO COINCIDA ENTRE LO REPORTADO POR EL ÁREA DE PRODUCCIÓN DE LA EMPACADORA POR LOTES Y EL ENCARGADO DE FINCA, ASEGURANDO LA INFORMACIÓN ANTES DE PROCEDER CON EL PROCESO DE FACTURACIÓN EN EL SISTEMA SAP. EN CUANTO A LA MERMA SE ESPERA LA CONFIMACION DE LA EMPRESA DESTINO PARA TENER LA ORDEN DE COMPRA Y PROCEDER CON LA FACTURACION.</t>
  </si>
  <si>
    <t>REPORTE DE CONSOLIDADO DE VENTAS.(AGROSELVATICA)</t>
  </si>
  <si>
    <t>ARMAR CONSOLIDADO DE VENTAS A TRAVES DEL FTL, ESTE FORMATO NOS PERMITE VER LAS CAJAS VENDIDAS MENSUALMENTE, EL TIPO DE CAJA VENDIDA, LOS CONTENEDORES O SI EL VIAJE FUE POR CUBIERTA.</t>
  </si>
  <si>
    <t xml:space="preserve">SISTEMA Y EXCEL </t>
  </si>
  <si>
    <t>REPORTE DE MERMA (SANTA CLARITA)</t>
  </si>
  <si>
    <t>ARMAR REPORTE DE MERMA DE PRODUCTOS SEGÚN LO REPORTADO POR EL ENCARGADO Y LO FACTURADO, ESTE REPORTE NOS PERMITE VER SI EXISTEN DIFERENCIAS EN CUANTO A PESO POR DIFERENTES TIPOS DE VASCULAS.</t>
  </si>
  <si>
    <t>FACTURACION POR BONIFICACION (SANTA CLARITA)</t>
  </si>
  <si>
    <t>REALIZAR LA FACTURACION POR BONIFICACION SEGÚN LO REPORTADO POR EL DEPARTAMENTO FINANCIERO.</t>
  </si>
  <si>
    <t>DOCUMENTACIÓN DEVOLUCIÓN DE IMPUESTOS PALEC SA - AGROSELVTICA SAS.</t>
  </si>
  <si>
    <t>RECOPILAR Y VERIFICAR LA DOCUMENTACIÓN SOPORTE CORRESPONDIENTE. ELABORAR LOS FORMATOS REQUERIDOS REQUERIDOS POR EL SRI,</t>
  </si>
  <si>
    <t>RECOPILAR Y VERIFICAR LA DOCUMENTACIÓN SOPORTE CORRESPONDIENTE. ELABORAR LOS FORMATOS REQUERIDOS REQUERIDOS POR EL SRI</t>
  </si>
  <si>
    <t>SOPORTE EN GRUPO JAFM</t>
  </si>
  <si>
    <t>ANALISIS DE CUENTAS CONTABLES  EN GRUPO JAFM.</t>
  </si>
  <si>
    <t>EXCEL-SRI- SISTEMA</t>
  </si>
  <si>
    <t>CONTADOR EMPRESAS LOGISTICA Y TRANSPORTE</t>
  </si>
  <si>
    <t>GABRIEL JURADO</t>
  </si>
  <si>
    <t>Registro contable de la provisión de consumo de energía eléctrica</t>
  </si>
  <si>
    <t>Realizar el registro contable correspondiente a la provisión del consumo de energía eléctrica, con base en los valores facturados y la información del sistema SAP</t>
  </si>
  <si>
    <t>Conciliación de operaciones de compras y ventas en empresas relacionadas</t>
  </si>
  <si>
    <t>Conciliación de operaciones de compras y ventas en empresas relacionadas, comprobando que los saldos coincidan, según información proporcionada por Geraldine/Andrea con lo registrado en SAP</t>
  </si>
  <si>
    <t>Elaboración y Presentación de la declaración mensual de impuestos</t>
  </si>
  <si>
    <t>Realizar la revisión y validación de los registros contables relacionados con compras, ventas y retenciones en sap, asegurando la coherencia de los datos fiscales en el sri. Verificar que no existan inconsistencias entre los valores reportados y los comprobantes electrónicos emitidos o recibidos.</t>
  </si>
  <si>
    <t>Elaboración y Presentación de Anexos Mensuales</t>
  </si>
  <si>
    <t>Elaborar Anexos mensuales como Oper, Adi, REBEFICS</t>
  </si>
  <si>
    <t xml:space="preserve">Elaboración y Presentacion de ICT </t>
  </si>
  <si>
    <t xml:space="preserve">Elaboración y Presentacion del Anexo de cumplimiento tributario </t>
  </si>
  <si>
    <t>Registro de Nomina y revisión de cuentas</t>
  </si>
  <si>
    <t>Contabilización del diario de Evolutión y posterior análisis y conciliación de cuentas de prestamos, anticipos, descuentos , en caso de que no cuadre el diario desde el sistema se comunica a RRHH para que hagan las validaciones respectivas</t>
  </si>
  <si>
    <t>Revisión del Anexos RDEP</t>
  </si>
  <si>
    <t>Revisión del anexo compartido por RRHH, en caso de existir errores se comunica al departamento para proceder con la actualización</t>
  </si>
  <si>
    <t>Revisión costo tercero (Transportistas)</t>
  </si>
  <si>
    <t>Revisar que las facturas de los proveedores cuenten con la respectiva factura de ingreso y verificar el mes donde se contabiliza, al final de la revisión se realizan las provisiones y activaciones de ser el caso.</t>
  </si>
  <si>
    <t>Control de depreciación</t>
  </si>
  <si>
    <t>Registrar y validar la depreciaciaón mensual de la propiedad planta y equipo</t>
  </si>
  <si>
    <t>Control de amortización</t>
  </si>
  <si>
    <t xml:space="preserve">Registrar y validar la amortización mensual de los seguros u  otros pagos pagados por anticipados </t>
  </si>
  <si>
    <t>Elaboracion de estados finacieros y Publicación</t>
  </si>
  <si>
    <t>Elaborar los Estados Financieros de Smart y CLSJ y posterior envio a la subgerencia contable para la revisión y luego su publicación</t>
  </si>
  <si>
    <t>Elaboracion de informacion financiera y carga a supercias</t>
  </si>
  <si>
    <t xml:space="preserve">Elaborar las plantillas y anexos requeridos por la super de compañías para cargar el cierre fiscal en el portal </t>
  </si>
  <si>
    <t>Formulario 101 de Smart y CLSJ</t>
  </si>
  <si>
    <t>Toma Fisica de Inventario</t>
  </si>
  <si>
    <t xml:space="preserve">Realizar el conteo físico del Stock de las bodegas de Smart y CLSJ y posterior a ello analizar diferencias y comunicarlas por correo electronico para regularizarlas </t>
  </si>
  <si>
    <t>Devolución de Impuestos Smart - CLSJ</t>
  </si>
  <si>
    <t>Recopilación de información para tramite de devolucion de impuestos de Smart y CLSJ</t>
  </si>
  <si>
    <t>Resumen de Cartera Relacionada</t>
  </si>
  <si>
    <t xml:space="preserve">Información de CAPEX </t>
  </si>
  <si>
    <t>Actualizar y enviar el detalle de activos adquiridos durante el mes</t>
  </si>
  <si>
    <t>Resumen de impuestos por recuperar</t>
  </si>
  <si>
    <t>Actualizar el cuadro de impuestos por recuperar</t>
  </si>
  <si>
    <t>Atención a requerimientos del SRI por Holding San Jose, Holdmetsa, TCMS</t>
  </si>
  <si>
    <t>Resumen de Gastos no deducibles de Smart y CLSJ</t>
  </si>
  <si>
    <t>Revisar y Validar los gastos no deducibles del periodo para su posterior publicacion</t>
  </si>
  <si>
    <t>Contestación Encuesta INEC</t>
  </si>
  <si>
    <t xml:space="preserve">Realizar la encuesta solicitada por el INEC cada año, siempre solicitan información financiera y resumen de algunos rubros </t>
  </si>
  <si>
    <t>Revisión de Mantenimientos Smart</t>
  </si>
  <si>
    <t>Revisar con la persona encargada del consumo de inventario en smart los mantenimientos realizados durante el mes, en caso de existir reparaciónes fuertes se revisa con la Subgerencia Contable para su activación</t>
  </si>
  <si>
    <t>Revisión de Costo de reparaciónes de Contenedores</t>
  </si>
  <si>
    <t>Validar que todos los contenedores que salieron en Statements sean consumidos en el mes, revisar que las OV no se encuentren duplicadas, en caso de que una OF tenga un costo demás se realiza desmonte</t>
  </si>
  <si>
    <t>Atención a requerimientos de Auditores Externos</t>
  </si>
  <si>
    <t>Recopilación y envío de requerimientos solicitados por los Auditores Externos</t>
  </si>
  <si>
    <t>Revisión del Status Tributario de Smart y CLSJ</t>
  </si>
  <si>
    <t>Revisar de manera diaria el portal del SRI para validar el cumplimiento de las obligaciones, notificaciones, requerimeintos o emisiones de NC desmaterializadas</t>
  </si>
  <si>
    <t>Registro de consumo de peajes</t>
  </si>
  <si>
    <t>Registrar consumos de peajes según reportes de flota.</t>
  </si>
  <si>
    <t>Análisis y control de cuentas contables</t>
  </si>
  <si>
    <t>Revisar periódicamente las cuentas contables para asegurar que los registros reflejen correctamente las operaciones financieras de la empresa, verificando saldos, conciliaciones y consistencia de los movimientos contables.</t>
  </si>
  <si>
    <t xml:space="preserve">Consolidación y validación de statement </t>
  </si>
  <si>
    <t>Realizar la revisión y validación del consolidado de statement, comparando la información enviada por M&amp;R con los valores facturados en el sistema sap, asegurando la coherencia de la información contable.</t>
  </si>
  <si>
    <t>Control de anticipos y viáticos de conductores</t>
  </si>
  <si>
    <t>Revisar la cuenta de anticipo de viaticos en smart, reconciliar los valores que se encuentren soportados y en caso de no contar con soportes en el sistema al cierre, realizar la provisión</t>
  </si>
  <si>
    <t xml:space="preserve">Registro contable de créditos bancarios </t>
  </si>
  <si>
    <t>Contabilizar préstamos y realizar el registro de la porción corriente y no corriente</t>
  </si>
  <si>
    <t>Supervisión al personal contable referente a las actividades asignadas</t>
  </si>
  <si>
    <t>Verificar el cumplimiento de las tareas asignadas al personal contable, garantizando la calidad, oportunidad y exactitud de los registros contables. Revisar reportes individuales, validar que las  provisiones estén completas y correctas. Brindar retroalimentación técnica, apoyo en resolución de incidencias y asegurar el cumplimiento de los plazos de cierre contable y tributario.</t>
  </si>
  <si>
    <t>Gestión del cierre contable de cuentas por pagar</t>
  </si>
  <si>
    <t>Verificar que todas las facturas de proveedores, transportistas y contratistas estén registradas correctamente antes del cierre contable mensual. Revisar provisiones, retenciones, notas de crédito y conciliaciones con reportes de compras y pagos. Coordinar con el área de tesorería y operaciones para asegurar que no existan documentos pendientes de contabilización. Validar el informe final de cuentas por pagar previo al cierre de mes.</t>
  </si>
  <si>
    <t>Gestión del cierre contable de Facturación</t>
  </si>
  <si>
    <t xml:space="preserve">Coordinar la revisión de todas las guias de transporte, servicios logísticos y reparación de contenedores antes del cierre mensual. Controlar que no existan facturas pendientes, duplicadas o fuera del periodo. </t>
  </si>
  <si>
    <t>ANALISTA CONTABLE 1</t>
  </si>
  <si>
    <t>DAYANA CHARI</t>
  </si>
  <si>
    <t>ANALISTA CONTABLE 2</t>
  </si>
  <si>
    <t>MELANIE MIRANDA</t>
  </si>
  <si>
    <t>Control y validación de reporte de transporte de contenedor</t>
  </si>
  <si>
    <t>Realizar la verificación y validación del reporte de viajes elaborado por el responsable del área (Oscar Ortega), asegurando que las tarifas se encuentren correctamente actualizadas conforme a lo establecido en el tarifario.  Además, detallar los códigos de artículos correspondientes para el control y registro de las facturas emitidas por cada transportista.</t>
  </si>
  <si>
    <t>PLANIFICACION</t>
  </si>
  <si>
    <t>Excel</t>
  </si>
  <si>
    <t>Envío de reporte de transporte para facturación</t>
  </si>
  <si>
    <t>Realizar el envío del reporte de viajes al responsable designado (Dayana Chari) y al área de Contabilidad TFE, con el fin de que se efectúe la correspondiente facturación.</t>
  </si>
  <si>
    <t>Recepción y distribución del reporte de movimiento de fruta</t>
  </si>
  <si>
    <t>Recibir el reporte de viajes elaborado por el responsable del área (Oscar Ortega) y organizar la información correspondiente en pestañas individuales para cada transportista. Además, detallar los códigos de artículos correspondientes para el control y registro de las facturas emitidas por cada transportista.</t>
  </si>
  <si>
    <t>Recepción y distribución del reporte de materiales</t>
  </si>
  <si>
    <t>Recepción y distribución del reporte de ingresos de contenedores</t>
  </si>
  <si>
    <t>Recibir el reporte de movimientos vacios elaborado por el responsable del área (Oscar Ortega) y organizar la información correspondiente en pestañas individuales para cada transportista. Además, detallar los códigos de artículos correspondientes para el control y registro de las facturas emitidas por cada transportista.</t>
  </si>
  <si>
    <t>Atención a consultas de transportistas sobre liquidaciones de viajes</t>
  </si>
  <si>
    <t>Brindar atención y respuesta a las consultas realizadas por los transportistas respecto a las liquidaciones de viajes previamente enviadas, a través de los canales oficiales de comunicación  (correo electrónico y WhatsApp).</t>
  </si>
  <si>
    <t>Validación de información contable sistema SAP - Reporte de viajes</t>
  </si>
  <si>
    <t>Verificar y conciliar la información del libro mayor con los reportes de viajes correspondientes a los diferentes servicios de transporte, asegurando la coherencia de los valores registrados y cuentas contables.</t>
  </si>
  <si>
    <t>Consolidado de viajes semanal</t>
  </si>
  <si>
    <t>Elaborar y actualizar el consolidado semanal de viajes, integrando la información de los diferentes reportes de transporte.</t>
  </si>
  <si>
    <t>Reunión con transportistas de contenedores</t>
  </si>
  <si>
    <t>Coordinar con los transportistas de contenedores para la revisión y validación de los soportes de cada viaje, asegurando que la documentación esté completa y cumplir con los procedimientos establecidos</t>
  </si>
  <si>
    <t>Fisico</t>
  </si>
  <si>
    <t>Control y seguimiento de soportes y escaneos documentales</t>
  </si>
  <si>
    <t>Realizar el control y seguimiento de los soportes físicos y escaneados de los viajes, en coordinación con los responsables de garita, para el envío al cliente OLAM. la validación documental final es efectuada por melanie villa.</t>
  </si>
  <si>
    <t>Control y seguimiento de soportes pendientes de reportes de viajes</t>
  </si>
  <si>
    <t>Realizar el control y seguimiento de los soportes pendientes de recepción, coordinar con los transportistas la remisión de los documentos faltantes. En los casos en que no se obtenga respuesta por parte del transportista, remitir el archivo actualizado de soportes pendientes a oscar ortega para su conocimiento y seguimiento. La validación documental final es realizada por melanie villa.</t>
  </si>
  <si>
    <t>Creación de proveedores y artículos en Sap</t>
  </si>
  <si>
    <t>Realizar la creación de nuevos proveedores, creación de nuevos artículos solicitados por los departamentos establecidos.</t>
  </si>
  <si>
    <t>Control y seguimiento de caja chica</t>
  </si>
  <si>
    <t>Realizar el control y seguimiento de los registros de caja chica en el sistema sap, verificando que coincidan con los documentos físicos de respaldo y archivar de manera ordenada.</t>
  </si>
  <si>
    <t>Revisión de facturas y notas de crédito de proveedores</t>
  </si>
  <si>
    <t>Efectuar la revisión y validación de las facturas y notas de crédito registradas en sap, contrastando la información con los comprobantes reportados en el sri, verificando la validez y coincidencia de valores.</t>
  </si>
  <si>
    <t>Verificación de emisión y aplicación de retenciones a proveedores</t>
  </si>
  <si>
    <t>Realizar la verificación de la correcta emisión y aplicación de las retenciones en las facturas de proveedores, asegurando el cumplimiento de la normativa tributaria vigente. confirmar que los porcentajes, bases imponibles y conceptos aplicados correspondan al tipo de servicio prestado.</t>
  </si>
  <si>
    <t>Verificación de anulación de retenciones</t>
  </si>
  <si>
    <t>Verificar la correcta anulación de las retenciones registradas en sap, posterior a la anulación en el sistema, se efectúe la solicitud correspondiente en el portal del sri, garantizando la coherencia entre ambas plataformas y la trazabilidad del proceso contable.</t>
  </si>
  <si>
    <t>Elaboración y envío de reporte de ventas de empresas relacionadas</t>
  </si>
  <si>
    <t>Elaborar y consolidar el reporte de ventas correspondiente a las empresas relacionadas, clasificando la información por tipo de carga (banano y plátano).</t>
  </si>
  <si>
    <t>Registro de descuentos a colaboradores</t>
  </si>
  <si>
    <t>Registrar los vales de consumo difare para descuento correspondiente a cada colaborador, de acuerdo con la información enviada por el área de RRHH. Realizar el registro contable de la provisión de arroz según la información proporcionada por Geraldine, asegurando la correcta contabilización.</t>
  </si>
  <si>
    <t>Control y actualización del registro de transportistas tercerizados</t>
  </si>
  <si>
    <t>Elaborar, actualizar y gestionar el listado y la documentación de los conductores y transportistas tercerizados, verificando el cumplimiento de los requisitos y estándares establecidos por la auditoría basc. asegurar que toda la información se mantenga vigente.</t>
  </si>
  <si>
    <t>Brindar soporte documental al contador</t>
  </si>
  <si>
    <t>Recopilar, organizar y entregar documentación contable</t>
  </si>
  <si>
    <t>Control y validación de liquidación de Grupo Noboa</t>
  </si>
  <si>
    <t>Realizar y enviar de detalle de valores semanales a los que aplica, facturación de Grupo Noboa en SAP, envío de facturas por correo electronico</t>
  </si>
  <si>
    <t>Gestionar y validar las devoluciones a productores</t>
  </si>
  <si>
    <t>Devoluciones a productores, generación de notas de crédito, entre varios casos</t>
  </si>
  <si>
    <t xml:space="preserve">Emisión de Facturas de Reembolso </t>
  </si>
  <si>
    <t>Facturas de reembolso mensuales (Julio Toala, otros)</t>
  </si>
  <si>
    <t>Emitir y controlar la facturación de los valores asumidos por MLC</t>
  </si>
  <si>
    <t>Facturación de valores que asume MLC por parte del grupo Noboa</t>
  </si>
  <si>
    <t>Atención a consultas de productores sobre la facturación</t>
  </si>
  <si>
    <t>Explicación personalizada de facturaciones a productores vía telefónica, email, whatsapp, entre otros medios</t>
  </si>
  <si>
    <t>Revisión semanal de la base de activos</t>
  </si>
  <si>
    <t>Revisión, actualización de base de activos por cambios semanales (Archivo Oscar)</t>
  </si>
  <si>
    <t>Creación de activos nuevos en SAP</t>
  </si>
  <si>
    <t>Creación de activos nuevos en SAP para proceder con la facturación</t>
  </si>
  <si>
    <t>Gestionar facturación de importaciones</t>
  </si>
  <si>
    <t>Facturacion de importaciones solicitadas por Lizbeth (Incluye generación de guias de remisión en relación por cada viaje)</t>
  </si>
  <si>
    <t>Emisión de facturas tipo COI/ATMOSFERA</t>
  </si>
  <si>
    <t>Emisión de notas de crédito y refacturaciones por atmosfera y COI</t>
  </si>
  <si>
    <t>Realizar refacturaciones y emisiones de notas de crédito</t>
  </si>
  <si>
    <t>Refacturaciones varias por temas de productores en último momento (Emisiones de notas de creditos y refacturaciones a multinational)</t>
  </si>
  <si>
    <t>Revisar, solicitar y corregir guías para facturación en SAP</t>
  </si>
  <si>
    <t>Revisión, solicitud de creación y corrección de guias y facturacion de contenedores del Reporte de viajes</t>
  </si>
  <si>
    <t>Revisar y analizar cobros de contenedores</t>
  </si>
  <si>
    <t>Análisis y revisión del reporte de cobro de contenedores (Andrea Bowen) a productores directos y por medio de liquidación BANANO-aplicación de criterios</t>
  </si>
  <si>
    <t>Gestionar facturación, notas de crédito y refacturaciones semanales de contenedores.</t>
  </si>
  <si>
    <t>Elaboración de informe de facturacion de contenedores, emisión de notas de credito por roleos y costos TFE, refacturaciones semanales de contenedores de productores varios y MLC</t>
  </si>
  <si>
    <t>Elaborar y revisar reportes de cobro de materiales.</t>
  </si>
  <si>
    <t>Revisión y control de reporte de cobro de materiales junto con Ricardo Salinas para envio a (Andrea Bowen) y elaboración de guías de remisión, para proceder con la facturación</t>
  </si>
  <si>
    <t>Revisión de soportes del cliente de Transgomez, Scaner y orden de facturación y guias</t>
  </si>
  <si>
    <t>Elaborar y revisar reportes de cobro de movimiento de fruta.</t>
  </si>
  <si>
    <t>Analisis y revision del reporte de movimiento de fruta y bajo cubierta junto con Ricardo Salinas para envio a (Andrea Bowen) y elaboración de guías de remisión, para proceder con la facturación</t>
  </si>
  <si>
    <t>Elaborar y enviar liquidación de viajes</t>
  </si>
  <si>
    <t xml:space="preserve">Realizar y enviar de detalles semanales de facturación a grupo Orodelti. </t>
  </si>
  <si>
    <t>Consolidado de ingreso de contenedores</t>
  </si>
  <si>
    <t>Revisión, actualización de base de facturación de hapag en consolidado de facturacion</t>
  </si>
  <si>
    <t>Elaborar y revisar reportes de cobro de ingreso de contenedores</t>
  </si>
  <si>
    <t>Elaboración de plantillas y guias en SAP de retiros de contenedores, para proceder con la facturación</t>
  </si>
  <si>
    <t>Revisión y control de statement - Hapag</t>
  </si>
  <si>
    <t>Revisión y facturación de statements de varias semanas de retiros de Hapag y envío de correo con soporte, reclasificación de semanas bananeras según aplique</t>
  </si>
  <si>
    <t>Participar en reuniones semanales para revisar rubros a cobrar a productores y MLC.</t>
  </si>
  <si>
    <t>Reunión para revisión semanal de rubros a cobrar a productores y MLC con Hector Salinas y Wendy Alvarado</t>
  </si>
  <si>
    <t>Elaboración y envío de detalle de facturación Grupo Tfe</t>
  </si>
  <si>
    <t>Envío de detalle de facturación de empresas relacionadas, Marly Villamar</t>
  </si>
  <si>
    <t>Emisión de facturación intereses Tfe</t>
  </si>
  <si>
    <t>Facturacion de intereses mensuales</t>
  </si>
  <si>
    <t>Control y seguimiento de guías de remisión</t>
  </si>
  <si>
    <t>Revisión general de guias abiertas y devueltas</t>
  </si>
  <si>
    <t>Validación de información contable sistema SAP - Reportes de transporte</t>
  </si>
  <si>
    <t>Revision de ingresos semanales en libro mayor vs reporte consolidado de facturación Smartlogistics</t>
  </si>
  <si>
    <t>MELANIE VILLA</t>
  </si>
  <si>
    <t>REGISTRO DE FACTURAS RECIBIDAS</t>
  </si>
  <si>
    <t>DESCARGAR REPORTE DEL SRI.
CARGAR EL REPORTE TXT AL SAP.
REVISAR A DETALLE CADA FACTURA.
ENVIAR CORREOS A CADA RESPONSABLE PARA QUE SE INDIQUE SI PROCEDEN LAS FACTURAS, O SE ENVÍE PEDIDO/ENTRADA DE MERCADERÍA DEL SAP EN CASO DE APLICAR.
REVISAR CUENTA CONTABLE A LA QUE SE REGISTRARÁ.
REVISAR EL RÉGIMEN TRIBUTARIO DEL PROVEEDOR EN EL SRI PARA ANALIZAR QUÉ PORCENTAJE Y CÓDIGO DE RETENCIÓN PROCEDE SEGÚN SU ACTIVIDAD Y DETALLE DE LA FACTURA.
PROCEDER CON EL REGISTRO DE LA FACTURA Y EMISIÓN DEL COMPROBANTE DE RETENCIÓN.
RESPONDER POR CORREO INDICANDO QUE SE REGISTRÓ LA FACTURA.</t>
  </si>
  <si>
    <t>MATRIZ EXCEL, CORREO ELECTRÓNICO, SRI, SAP</t>
  </si>
  <si>
    <t>ESCRITORIO PC
PLATAFORMA SRI: https://srienlinea.sri.gob.ec/</t>
  </si>
  <si>
    <t>REGISTRO DE COMPROBANTES DE CAJA CHICA</t>
  </si>
  <si>
    <t>RECEPCIÓN DE COMPROBANTES CORRESPONDIENTES A CAJA CHICA (FACTURAS, NOTAS DE VENTA, VALES)
REVISAR EL RÉGIMEN TRIBUTARIO DEL PROVEEDOR EN EL SRI PARA ANALIZAR QUÉ PORCENTAJE Y CÓDIGO DE RETENCIÓN PROCEDE SEGÚN SU ACTIVIDAD Y DETALLE DE LA FACTURA
REVISAR LA CUENTA CONTABLE A LA QUE SE REGISTRARÁ
PROCEDER CON EL REGISTRO DEL COMPROBANTE Y EMISIÓN DEL COMPROBANTE DE RETENCIÓN
REALIZAR ASIENTO DE RETENCIÓN ASUMIDA EN CASO DE APLICAR
REALIZAR ASIENTO DE RECLASIFICACIÓN A CAJA CHICA
RECONCILIAR LA CUENTA POR PAGAR DEL PROVEEDOR</t>
  </si>
  <si>
    <t>ESCRITORIO PC
PLATAFORMA SRI: https://srienlinea.sri.gob.ec/
ARCHIVO FÍSICO</t>
  </si>
  <si>
    <t>REVISION Y ARCHIVO DE SOPORTES DE CONTENEDORES</t>
  </si>
  <si>
    <t>DESCARGAR REPORTE DE VIAJES SEMANAL
COPIAR LOS SOPORTES DE TERCEROS EN UN ARCHIVO CONSOLIDADO CON LOS SOPORTES PENDIENTES POR REVISAR
REVISAR LOS SOPORTES RECIBIDOS CON EL ARCHIVO DE EXCEL (REVISAR QUE CADA SOPORTE TENGA LOS DOCUMENTOS PRINCIPALES: GUÍA DE REMISIÓN, TICKET DEL PUERTO, EIR)
ANOTAR LOS SOPORTES QUE FALTAN PARA DESCARGARLOS DEL SAP (GUÍAS DE REMISIÓN) O SOLICITARLOS AL COORDINADOR DE TRANSPORTE (TICKET DEL PUERTO Y EIR)
DESCARGAR LAS GUÍAS DE REMISIÓN FALTANTES EN SAP Y ARCHIVARLOS EN UNA CARPETA EN LA NUBE
ARCHIVAR LOS SOPORTES QUE ESTÁN COMPLETOS EN LAS CARPETAS FÍSICAS POR SEMANA Y NOMBRE DEL PROVEEDOR</t>
  </si>
  <si>
    <t>MATRIZ EXCEL, WHATSAPP DE LA BASE, SAP, SOPORTES FÍSICOS, CARPETAS FÍSICAS</t>
  </si>
  <si>
    <t>ESCRITORIO PC
ARCHIVO FÍSICO</t>
  </si>
  <si>
    <t>REVISION Y ARCHIVO DE SOPORTES DE MATERIAL/MOVIMIENTO DE FRUTA</t>
  </si>
  <si>
    <t>DESCARGAR EL ARCHIVO DE MATERIAL/MOVIMIENTO DE FRUTA SEMANAL
COPIARLO EN UN ARCHIVO DE EXCEL CONSOLIDADO CON LOS SOPORTES PENDIENTES POR REVISAR
REVISAR LOS SOPORTES FÍSICOS E IRLOS ELIMINANDO DEL ARCHIVO DE EXCEL
ARCHIVAR LOS SOPORTES EN LAS CARPETAS FÍSICAS POR SEMANA Y NOMBRE DEL PROVEEDOR</t>
  </si>
  <si>
    <t>MATRIZ EXCEL, SOPORTES FÍSICOS, CARPETAS FÍSICAS</t>
  </si>
  <si>
    <t>REVISION Y ENVIO DE SOPORTES DE OLAM</t>
  </si>
  <si>
    <t>DESCARGAR REPORTE DE VIAJES SEMANAL
COPIAR LOS SOPORTES DE TERCEROS EN UN ARCHIVO CONSOLIDADO CON LOS SOPORTES PENDIENTES POR REVISAR
FILTRAR POR OLAM Y ENVIAR UN DETALLE POR SEMANA AL COORDINADOR DE TRANSPORTE
UNA VEZ CONFIRMADO QUE SE TIENE LOS SOPORTES FÍSICOS IR A RETIRARLOS
REVISAR QUE CADA SOPORTE CUENTE CON LOS DOCUMENTOS PRINCIPALES (GUÍA DE REMISIÓN, TICKET DEL PUERTO, EIR)
ANOTAR LOS SOPORTES QUE FALTAN PARA DESCARGARLOS DEL SAP (GUÍAS DE REMISIÓN) O SOLICITARLOS AL COORDINADOR DE TRANSPORTE (TICKET DEL PUERTO Y EIR)
DESCARGAR LOS SOPORTES FALTANTES E IMPRIMIRLOS
SEPARAR LOS GUÍAS DE REMISIÓN, TICKET Y EIR DE CADA SOPORTE, ESCANEARLOS, Y GUARDARLOS EN UN SOBRE POR SEMANA PARA POSTERIORMENTE ENVIARLOS CON EL MENSAJERO
EL RESTO DE SOPORTES ARCHIVARLOS EN LAS CARPETAS FÍSICAS POR SEMANA</t>
  </si>
  <si>
    <t>MATRIZ EXCEL, SOPORTES FÍSICOS, SAP, WHATSAAP BASE, CARPETAS FÍSICAS</t>
  </si>
  <si>
    <t>REVISION Y REGISTRO DE LIQUIDACIONES DE COMPRA DE VIÁTICOS DE CONDUCTORES PROPIOS</t>
  </si>
  <si>
    <t>REVISAR Y VERIFICAR LAS FACTURAS DE VIÁTICOS PRESENTADAS POR LOS CONDUCTORES PROPIOS, COMPROBANDO QUE CORRESPONDAN A DOCUMENTOS VÁLIDOS
PROCEDER A REALIZAR LAS LIQUIDACIONES DE COMPRAS
ARCHIVAR LAS FACTURAS DE FORMA ORDENADA
DESCARGAR EL DETALLE DE PEDIDOS DE SAP ENVIADO POR CORREO POR LA PERSONA ENCARGADA DE RRHH
REALIZAR UNA MATRIZ EN EXCEL CON LOS DATOS DE LOS SOPORTES DE CADA LIQUIDACIÓN (FACTURAS Y NOTAS DE VENTA). DETALLAR RUC, NOMBRE DEL PROVEEDOR, NÚMERO DE AUTORIZACIÓN, NÚMERO DE DOCUMENTO, FECHA, TIPO DE DOCUMENTO Y VALORES
LLAMAR AL PEDIDO DE CADA LIQUIDACIÓN EN SAP, REGISTRAR Y COPIAR EL DETALLE DE LA MATRIZ DE EXCEL, COMPROBAR DATOS Y VALORES
ESCANEAR CADA LIQUIDACIÓN DE COMPRA CON SUS SOPORTES
CARGAR LOS SOPORTES A CADA LIQUIDACIÓN DE COMPRAS EN SAP
DESCARGAR UN DETALLE DE LAS LIQUIDACIONES CON LOS VALORES, COPIARLOS A UNA MATRIZ EN EXCEL Y ENVIARLO POR CORREO A LA PERSONA ENCARGADA DE FINANCIERO</t>
  </si>
  <si>
    <t>MATRIZ EXCEL, LC FÍSICAS, CORREO ELECTRÓNICO, SAP</t>
  </si>
  <si>
    <t>DETALLE Y ENVIO DE FACTURAS SIN REGISTRAR A CIERRE DE MES</t>
  </si>
  <si>
    <t>DESCARGAR REPORTE DE FACTURAS RECIBIDAS DEL SRI Y COPIARLO EN LA MATRIZ DE EXCEL
DESCARGAR REPORTE DE FACTURAS REGISTRADAS DE SAP DEL MES A REVISAR
REALIZAR UN BUSCARV DE LAS FACTURAS DEL SRI CON LAS DEL SAP
FILTRAR POR LAS FACTURAS QUE NO SE ENCUENTRAN REGISTRADAS EN SAP
HACER UN DETALLE DE LAS FACTURAS SIN REGISTRAR ESPECIFICANDO EL MOTIVO POR EL CUAL NO SE REGISTRARÁ
HACER EL MISMO PROCEDIMIENTO CON LAS NOTAS DE CRÉDITO RECIBIDAS
ENVIAR AMBOS DETALLES POR CORREO ELECTRÓNICO A LA ANALISTA CONTABLE</t>
  </si>
  <si>
    <t>MATRIZ EXCEL, SRI, SAP, CORREO ELECTRÓNICO</t>
  </si>
  <si>
    <t>ENVÍO DE LIQUIDACIONES DE VIAJES A TRANSPORTISTAS</t>
  </si>
  <si>
    <t>DESCARGAR REPORTE DE VIAJES SEMANAL
REALIZAR EL ENVÍO DE LAS LIQUIDACIONES DE VIAJES A LOS TRANSPORTISTAS, CONFORME A LA INFORMACIÓN CONSOLIDADA EN EL REPORTE DE VIAJES. LA ACTIVIDAD SE EJECUTA A TRAVÉS DE LOS CANALES OFICIALES DE COMUNICACIÓN INSTITUCIONAL (CORREO ELECTRÓNICO Y WHATSAPP)</t>
  </si>
  <si>
    <t>MATRIZ EXCEL, WHATSAAP BASE, CORREO ELECTRONICO</t>
  </si>
  <si>
    <t>ESCRITORIO PC</t>
  </si>
  <si>
    <t>REGISTRO DE FACTURAS DE TRANSPORTE</t>
  </si>
  <si>
    <t>VALIDAR Y REGISTRAR EN EL SISTEMA LAS FACTURAS CORRESPONDIENTES A LOS SERVICIOS DE TRANSPORTE, ASEGURANDO LA CONSISTENCIA DE LOS DATOS CON LOS REPORTES DE VIAJES.</t>
  </si>
  <si>
    <t>MATRIZ EXCEL, SRI, SAP</t>
  </si>
  <si>
    <t>REVISION Y ENVIO DE REPORTE PARA FACTURACION RISK</t>
  </si>
  <si>
    <t>DESCARGAR EL REPORTE DE VIAJES SEMANAL
DESCARGAR EL ARCHIVO RECIBIDO DE RISK SEMANAL
VALIDAR LA INFORMACIÓN CON EL REPORTE DE VIAJES
ENVIAR EL REPORTE CON LAS OBSERVACIONES PARA SU FACTURACIÓN</t>
  </si>
  <si>
    <t>MATRIZ EXCEL, CORREO ELECTRONICO</t>
  </si>
  <si>
    <t>FACTURACION RUBROS SEMANALES DE CLSJ</t>
  </si>
  <si>
    <t>REVISION Y FACTURACION DE SERVICIOS M&amp;R Y ENVIO DE LA FACTURA POR CORREO JUNTO CON LOS RESPECTIVOS SOPORTES
REVISION Y FACTURACIÓN DE SERVICIO DE TURNOS
REVISION Y VALIDACION DE SOPORTES PARA FACTURACION DE SERVICIOS PTI CA Y CL2, ASI COMO ENVIO DE CORREO CON LA FACTURA
REVISION Y FACTURACION DE SERVICIOS HANDLING IN-OUT, ASÍ COMO ENVIÓ DE LA FACTURA Y LOS SOPORTES POR CORREO A CADA CLIENTE
REVISIÓN DE ORDENES DE VENTA PARA TALLER Y FACTURACIÓN, ASÍ COMO ENVÍO DE LA FACTURA POR CORREO
REVISIÓN Y VALIDACIÓN DE SOPORTES PARA FACTURACIÓN DEL SERVICIO DE CONEXIONES, ASÍ COMO ENVÍO DE LA FACTURA POR CORREO
REVISIÓN Y VALIDACIÓN DE SOPORTES PARA FACTURACIÓN DE SERVICIO CL2, ASÍ COMO ENVIO DE LA FACTURA POR CORREO
REVISION Y FACTURACIÓN DE SERVICIO RISK, ASÍ COMO ENVIO DE LA FACTURA POR CORREO JUNTO CON SOPORTES</t>
  </si>
  <si>
    <t>MATRIZ EXCEL, SAP, CORREO ELECTRÓNICO</t>
  </si>
  <si>
    <t>REGISTRO DE RETENCIONES RECIBIDAS</t>
  </si>
  <si>
    <t>DESCARGAR EL REPORTE DE RETENCIONES RECIBIDAS DEL PORTAL DEL SRI Y COPIARLO EN UNA MATRIZ DE EXCEL MENSUAL
CARGAR EL REPORTE TXT AL SAP
REVISAR QUE SE HAYAN APLICADO LOS PORCENTAJES DE RETENCIÓN CORRECTOS SEGÚN LA FACTURA Y EL RÉGIMEN TRIBUTARIO DE CADA CLIENTE
PROCEDER CON EL REGISTRO DE CADA RETENCIÓN EN EL SAP</t>
  </si>
  <si>
    <t>DETALLE DE FACTURACION DE EMPRESAS RELACIONADAS</t>
  </si>
  <si>
    <t>DESCARGAR DETALLE DE FACTURAS EMITIDAS EN SAP A EMPRESAS RELACIONADAS
REVISAR Y ENVIAR DETALLE EN EXCEL A MARLY VILLAMAR</t>
  </si>
  <si>
    <t>FACTURACION DE INTERESES MENSUALES</t>
  </si>
  <si>
    <t>REVISAR EL VALOR A FACTURAR Y EMITIR UNA VEZ VERIFICADA LA INFORMACIÓN</t>
  </si>
  <si>
    <t>FACTURACION POR REEMBOLSO</t>
  </si>
  <si>
    <t>VERIFICAR QUE SE HAYA REGISTRADO LA FACTURA RECIBIDA EN SAP
REVISION Y EMISION DE FACTURA DE REEMBOLSO
ENVIO POR EMAIL AL DEPARTAMENTO REESPONSABLE</t>
  </si>
  <si>
    <t>SAP, CORREO ELECTRONICO</t>
  </si>
  <si>
    <t>REVISION DE SALDOS DE CLIENTES Y COMPROBACION DE COMPROBANTES DE RETENCION RECIBIDOS</t>
  </si>
  <si>
    <t>DESCARGAR REPORTE EN SAP CON SALDOS DE CLIENTES
REVISAR AQUELLOS QUE NO HAN EMITIDO COMPROBANTE DE RETENCIÓN EN CASO DE PROCEDER
ENVIAR NOTIFICACIONES A CLIENTES Y DAR SEGUIMIENTO HASTA RECIBIR EL COMPROBANTE</t>
  </si>
  <si>
    <t>MATRIZ EXCEL, SAP, CORREO ELECTRÓNICO, SRI</t>
  </si>
  <si>
    <t>Fecha: 02/10/2025</t>
  </si>
  <si>
    <t>ASISTENTE CONTABLE EN ZONA EL CARMEN</t>
  </si>
  <si>
    <t>MARITZA KURE</t>
  </si>
  <si>
    <t>REPORTAR COSTOS OPERATIVOS OPERACION PLATANO</t>
  </si>
  <si>
    <t>VERIFICACION CORREO POR PARTE DE DANNY PARA REALIZAR REPORTES DE TRANSPORTE, EVENTUALES, ESTIBA , PROCESOS Y REPROCESOS Y ENVIAR VALOR A FACTURAR A LOS PROVEEDORES</t>
  </si>
  <si>
    <t>INGRESO DE FACTURAS COSTOS OPERATIVOS OPERACION PLATANO</t>
  </si>
  <si>
    <t>INGRESO DE FACTURAS DE TRANSPORTE, EVENTUALES, ESTIBA , PROCESOS Y REPROCESOS-ESCANEO DE FACTURA MANUALES PARA ANEXO EN SAP</t>
  </si>
  <si>
    <t>REPORTAR GASTOS ADMINISTRATIVOS OPERACION PLATANO</t>
  </si>
  <si>
    <t>VERIFICACION CON PROVEEDORES Y REALIZAR REPORTES DE GASTOS ADMINISTRATIVOS COMO ALIMENTACION,  COMBUSTIBLE, HOSPEDAJE, LIMPIEZA Y ENVIAR VALOR A FACTURAR A LOS PROVEEDORES</t>
  </si>
  <si>
    <t>INGRESO DE FACTURAS GASTOS ADMINISTRATIVOS OPERACION PLATANO</t>
  </si>
  <si>
    <t>INGRESO FACTURA GASTOS ADMINISTRATIVOS OPERACIÓN PLATANO-SCANEO DE FACTURA MANUALES PARA ANEXO EN SAP</t>
  </si>
  <si>
    <t>REPORTE FACTUAS MAQUILAJE DE FRUTA</t>
  </si>
  <si>
    <t>ENVIAR VALORES A PROVEEDORES PARA FACTURAR E INGRESO DE FACTURAS</t>
  </si>
  <si>
    <t>VENTAS ARTICULOS DE INVENTARIO</t>
  </si>
  <si>
    <t>EXTRAER BASE DE VENTAS SEMANALES A PRODUCTORES -REALIZAR PEDIDO Y ENTREGA EN SAP-ENVIAR CORREO DE DESCUENTOS A PRODUCTORES</t>
  </si>
  <si>
    <t>VERIFICACION DE FACTURAS A NOMBRE DE TSER-TFE</t>
  </si>
  <si>
    <t>VERIFICACION DE REPORTE DE COMPRAS PARA EL INGRESO DE FACTURAS COMBUSTIBLE PREPAGADO EN EL CARMEN-SERVICIOS BASICOS-TELCONET</t>
  </si>
  <si>
    <t>INVENTARIO Y ABASTECIMIENTO BODEGA EL CARMEN</t>
  </si>
  <si>
    <t>CONTEO FISICO DE MATERIALES PARA SOLICITAR ABASTECIMIENTO DE MATERIALES PARA LA OPERACION DE LA SIGUIENTE SEMANA-COODINACION CON DANNY BASURTO-LUIS FAJARDO-ANA SALAZAR-OSCAR ORTEGA</t>
  </si>
  <si>
    <t>Supply</t>
  </si>
  <si>
    <t>BODEGA</t>
  </si>
  <si>
    <t>ABASTECIMIENTO BODEGA PRODUCORES PENINSULA</t>
  </si>
  <si>
    <t>CONFIRMAR CON SUPERVISORES O ENCARGADOS EL STOCK DE MATERIALES QUE TIENEN EN PENINSULA PARA ABASTECER PROCESO DE LA SIGUIENTE SEMANA-ENVIAR A CORREO DE ABASTECIMIENTO</t>
  </si>
  <si>
    <t>ABASTECIMIENTO BODEGA BUENA FE</t>
  </si>
  <si>
    <t>CONFIRMAR CON SUPERVISORES O ENCARGADOS EL STOCK DE MATERIALES QUE TIENEN EN BUENA FE PARA ABASTECER PROCESO DE LA SIGUIENTE SEMANA</t>
  </si>
  <si>
    <t>Operaciones Platano</t>
  </si>
  <si>
    <t>RECEPCION DE MATERIALES</t>
  </si>
  <si>
    <t>CONTEO DE MATERIALES ENVIADOS  POR EL PAN Y VERIFICACION DE MATERIAL ENTREGADO POR GRUPASA Y BANASPAR</t>
  </si>
  <si>
    <t>SISTEMA-GUIAS FISICAS</t>
  </si>
  <si>
    <t>EMISION GUIAS DE REMISION -ENTREGA DE MATERIALES</t>
  </si>
  <si>
    <t>VERIFICACION DE LA PROGRAMACION Y EMITIR SOLICITUD DE TRASLADO Y GUIAS DE REMISION EN LA ENTREGA DE MATERIALES PROGRAMADOS POR DANNY PARA EL CARMEN Y BUENA FE</t>
  </si>
  <si>
    <t>VERIFICACION REPORTES OPERATIVOS Y ADMINISTRATIVOS</t>
  </si>
  <si>
    <t>RECEPCION DE FIRMA DE AUTORIZACION PARA PAGOS DE PARTE DEL JEFE DE OPERACION</t>
  </si>
  <si>
    <t>REPORTES</t>
  </si>
  <si>
    <t>OFICINA</t>
  </si>
  <si>
    <t>REPORTAR FACTURAS HONORARIOS</t>
  </si>
  <si>
    <t>INGRESO DE FACTURAS DE HONORARIOS INCLUIDO GUARDIANIA</t>
  </si>
  <si>
    <t>Talento Humano</t>
  </si>
  <si>
    <t>REPORTAR FACTURAS RECORRIDOS Y ALIMENTACION O. PLATANO</t>
  </si>
  <si>
    <t>SOLICITAR FACTURAS A COLABORADORES E INGRESO AL SISTEMA</t>
  </si>
  <si>
    <t>Gerencia</t>
  </si>
  <si>
    <t>Administración</t>
  </si>
  <si>
    <t>Bodega</t>
  </si>
  <si>
    <t>Comex</t>
  </si>
  <si>
    <t>Certificaciones</t>
  </si>
  <si>
    <t>Proyectos</t>
  </si>
  <si>
    <t>Tesoreria</t>
  </si>
  <si>
    <t>Operaciones Banano</t>
  </si>
  <si>
    <t>Logistica</t>
  </si>
  <si>
    <t>Consolidación</t>
  </si>
  <si>
    <t>BLOQUEO PERIODO CONTABLE TFE</t>
  </si>
  <si>
    <t>ELABORACION  DE CUADRO DE ACTIVOS INTANGIBLES TSER</t>
  </si>
  <si>
    <t>LIQUIDACIÓN DE IMPORTACIONES TFE</t>
  </si>
  <si>
    <t>REGISTRO DE RECLASIFICACIONES TSER/TFE</t>
  </si>
  <si>
    <t>CONCILIACIÓN  CUENTA JUBILACIÓN Y DESAHUCIO TSER/TFE/INTELCOMAX</t>
  </si>
  <si>
    <t>CONCILIACIÓN COSTO DE VENTA EXPORTACIÓN</t>
  </si>
  <si>
    <t>ANÁLISIS Y REVISIÓN CUENTAS CONTABLES TSER/TFE</t>
  </si>
  <si>
    <t>DECLARACION MENSUAL DE IMPUESTOS DE TSER</t>
  </si>
  <si>
    <t>ANEXOS TRANSACCIONALES (ATS) TSER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</si>
</sst>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theme="0"/>
      <name val="Calibri"/>
      <family val="2"/>
      <scheme val="minor"/>
    </font>
    <font>
      <b/>
      <sz val="11"/>
      <color theme="1"/>
      <name val="Calibri"/>
      <family val="2"/>
      <scheme val="minor"/>
    </font>
    <font>
      <sz val="9"/>
      <color indexed="81"/>
      <name val="Tahoma"/>
      <family val="2"/>
    </font>
    <font>
      <b/>
      <sz val="9"/>
      <color indexed="81"/>
      <name val="Tahoma"/>
      <family val="2"/>
    </font>
    <font>
      <b/>
      <sz val="11"/>
      <color theme="0"/>
      <name val="Calibri"/>
      <family val="2"/>
    </font>
    <font>
      <sz val="11"/>
      <color theme="1"/>
      <name val="Calibri"/>
      <family val="2"/>
      <scheme val="minor"/>
    </font>
    <font>
      <b/>
      <sz val="10"/>
      <name val="Calibri"/>
      <family val="2"/>
      <scheme val="minor"/>
    </font>
    <font>
      <b/>
      <sz val="10"/>
      <color rgb="FF000000"/>
      <name val="Calibri"/>
      <family val="2"/>
      <scheme val="minor"/>
    </font>
    <font>
      <b/>
      <sz val="14"/>
      <color theme="1"/>
      <name val="Calibri"/>
      <family val="2"/>
      <scheme val="minor"/>
    </font>
    <font>
      <sz val="11"/>
      <color rgb="FF000000"/>
      <name val="Aptos Narrow"/>
      <family val="2"/>
    </font>
    <font>
      <sz val="11"/>
      <color rgb="FF000000"/>
      <name val="Calibri"/>
      <family val="2"/>
    </font>
    <font>
      <sz val="10"/>
      <color rgb="FF000000"/>
      <name val="Calibri"/>
      <family val="2"/>
    </font>
    <font>
      <sz val="11"/>
      <name val="Calibri"/>
      <family val="2"/>
    </font>
    <font>
      <sz val="10"/>
      <color rgb="FF000000"/>
      <name val="Corbel"/>
      <family val="2"/>
    </font>
    <font>
      <sz val="10"/>
      <color rgb="FF000000"/>
      <name val="Arial"/>
      <family val="2"/>
    </font>
    <font>
      <sz val="10"/>
      <name val="Arial"/>
      <family val="2"/>
    </font>
    <font>
      <sz val="11"/>
      <color rgb="FF000000"/>
      <name val="Calibri"/>
      <family val="2"/>
      <charset val="1"/>
    </font>
  </fonts>
  <fills count="5">
    <fill>
      <patternFill patternType="none"/>
    </fill>
    <fill>
      <patternFill patternType="gray125"/>
    </fill>
    <fill>
      <patternFill patternType="solid">
        <fgColor theme="0"/>
        <bgColor indexed="64"/>
      </patternFill>
    </fill>
    <fill>
      <patternFill patternType="solid">
        <fgColor rgb="FF00B050"/>
        <bgColor indexed="64"/>
      </patternFill>
    </fill>
    <fill>
      <patternFill patternType="solid">
        <fgColor rgb="FFFFFF0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style="thin">
        <color rgb="FF000000"/>
      </left>
      <right style="thin">
        <color rgb="FF000000"/>
      </right>
      <top style="thin">
        <color rgb="FF000000"/>
      </top>
      <bottom/>
      <diagonal/>
    </border>
  </borders>
  <cellStyleXfs count="4">
    <xf numFmtId="0" fontId="0" fillId="0" borderId="0"/>
    <xf numFmtId="0" fontId="6" fillId="0" borderId="0"/>
    <xf numFmtId="9" fontId="6" fillId="0" borderId="0" applyFont="0" applyFill="0" applyBorder="0" applyAlignment="0" applyProtection="0"/>
    <xf numFmtId="0" fontId="16" fillId="0" borderId="0"/>
  </cellStyleXfs>
  <cellXfs count="103">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2" fillId="0" borderId="0" xfId="0" applyFont="1" applyAlignment="1">
      <alignment horizontal="center" vertical="center"/>
    </xf>
    <xf numFmtId="9" fontId="2" fillId="0" borderId="0" xfId="2" applyFont="1" applyAlignment="1">
      <alignment horizontal="center" vertical="center"/>
    </xf>
    <xf numFmtId="9" fontId="0" fillId="0" borderId="1" xfId="2" applyFont="1" applyBorder="1" applyAlignment="1">
      <alignment horizontal="center" vertical="center"/>
    </xf>
    <xf numFmtId="9" fontId="0" fillId="0" borderId="0" xfId="2" applyFont="1" applyAlignment="1">
      <alignment horizontal="center" vertical="center"/>
    </xf>
    <xf numFmtId="0" fontId="1" fillId="3" borderId="1" xfId="0" applyFont="1" applyFill="1" applyBorder="1" applyAlignment="1">
      <alignment horizontal="center" vertical="center"/>
    </xf>
    <xf numFmtId="9" fontId="1" fillId="3" borderId="1" xfId="2" applyFont="1" applyFill="1" applyBorder="1" applyAlignment="1">
      <alignment horizontal="center" vertical="center"/>
    </xf>
    <xf numFmtId="0" fontId="7" fillId="2" borderId="1" xfId="1" applyFont="1" applyFill="1" applyBorder="1" applyAlignment="1">
      <alignment horizontal="center" vertical="center"/>
    </xf>
    <xf numFmtId="0" fontId="2" fillId="0" borderId="1" xfId="0" applyFont="1" applyBorder="1" applyAlignment="1">
      <alignment horizontal="center" vertical="center"/>
    </xf>
    <xf numFmtId="9" fontId="2" fillId="0" borderId="1" xfId="2" applyFont="1" applyBorder="1" applyAlignment="1">
      <alignment horizontal="center" vertical="center"/>
    </xf>
    <xf numFmtId="0" fontId="0" fillId="0" borderId="1" xfId="0" applyBorder="1" applyAlignment="1">
      <alignment horizontal="center" vertical="center" wrapText="1"/>
    </xf>
    <xf numFmtId="0" fontId="10" fillId="0" borderId="8" xfId="0" applyFont="1" applyBorder="1" applyAlignment="1">
      <alignment vertical="center" wrapText="1"/>
    </xf>
    <xf numFmtId="0" fontId="10" fillId="0" borderId="1" xfId="0" applyFont="1" applyBorder="1" applyAlignment="1">
      <alignment vertical="center" wrapText="1"/>
    </xf>
    <xf numFmtId="0" fontId="10" fillId="0" borderId="7" xfId="0" applyFont="1" applyBorder="1" applyAlignment="1">
      <alignment vertical="center" wrapText="1"/>
    </xf>
    <xf numFmtId="0" fontId="10" fillId="0" borderId="9" xfId="0" applyFont="1" applyBorder="1" applyAlignment="1">
      <alignment vertical="center" wrapText="1"/>
    </xf>
    <xf numFmtId="0" fontId="10" fillId="0" borderId="0" xfId="0" applyFont="1" applyAlignment="1">
      <alignment vertical="center" wrapText="1"/>
    </xf>
    <xf numFmtId="9" fontId="10" fillId="0" borderId="8" xfId="0" applyNumberFormat="1" applyFont="1" applyBorder="1" applyAlignment="1">
      <alignment vertical="center" wrapText="1"/>
    </xf>
    <xf numFmtId="9" fontId="10" fillId="0" borderId="7" xfId="0" applyNumberFormat="1" applyFont="1" applyBorder="1" applyAlignment="1">
      <alignment vertical="center" wrapText="1"/>
    </xf>
    <xf numFmtId="0" fontId="10" fillId="0" borderId="10" xfId="0" applyFont="1" applyBorder="1" applyAlignment="1">
      <alignment vertical="center" wrapText="1"/>
    </xf>
    <xf numFmtId="0" fontId="10" fillId="0" borderId="11" xfId="0" applyFont="1" applyBorder="1" applyAlignment="1">
      <alignment vertical="center" wrapText="1"/>
    </xf>
    <xf numFmtId="0" fontId="10" fillId="0" borderId="12" xfId="0" applyFont="1" applyBorder="1" applyAlignment="1">
      <alignment vertical="center" wrapText="1"/>
    </xf>
    <xf numFmtId="0" fontId="1" fillId="3" borderId="13" xfId="0" applyFont="1" applyFill="1" applyBorder="1" applyAlignment="1">
      <alignment horizontal="center" vertical="center"/>
    </xf>
    <xf numFmtId="0" fontId="11" fillId="0" borderId="1"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0" xfId="0" applyFont="1" applyAlignment="1">
      <alignment horizontal="center" vertical="center" wrapText="1"/>
    </xf>
    <xf numFmtId="9" fontId="11" fillId="0" borderId="8" xfId="0" applyNumberFormat="1" applyFont="1" applyBorder="1" applyAlignment="1">
      <alignment horizontal="center" vertical="center" wrapText="1"/>
    </xf>
    <xf numFmtId="0" fontId="11" fillId="0" borderId="9" xfId="0" applyFont="1" applyBorder="1" applyAlignment="1">
      <alignment horizontal="center" vertical="center" wrapText="1"/>
    </xf>
    <xf numFmtId="0" fontId="12" fillId="0" borderId="7" xfId="0" applyFont="1" applyBorder="1" applyAlignment="1">
      <alignment horizontal="center" vertical="center" wrapText="1"/>
    </xf>
    <xf numFmtId="0" fontId="11" fillId="0" borderId="7" xfId="0" applyFont="1" applyBorder="1" applyAlignment="1">
      <alignment horizontal="center" vertical="center" wrapText="1"/>
    </xf>
    <xf numFmtId="9" fontId="11" fillId="0" borderId="7" xfId="0" applyNumberFormat="1" applyFont="1" applyBorder="1" applyAlignment="1">
      <alignment horizontal="center" vertic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0" xfId="0" applyFont="1" applyAlignment="1">
      <alignment horizontal="center" vertical="center" wrapText="1"/>
    </xf>
    <xf numFmtId="0" fontId="11" fillId="0" borderId="1" xfId="0" applyFont="1" applyBorder="1" applyAlignment="1">
      <alignment horizontal="center" vertical="center"/>
    </xf>
    <xf numFmtId="0" fontId="11" fillId="0" borderId="8" xfId="0" applyFont="1" applyBorder="1" applyAlignment="1">
      <alignment horizontal="center" vertical="center"/>
    </xf>
    <xf numFmtId="9" fontId="11" fillId="0" borderId="8" xfId="0" applyNumberFormat="1" applyFont="1" applyBorder="1" applyAlignment="1">
      <alignment horizontal="center" vertical="center"/>
    </xf>
    <xf numFmtId="0" fontId="11" fillId="0" borderId="9" xfId="0" applyFont="1" applyBorder="1" applyAlignment="1">
      <alignment horizontal="center" vertical="center"/>
    </xf>
    <xf numFmtId="0" fontId="11" fillId="0" borderId="7" xfId="0" applyFont="1" applyBorder="1" applyAlignment="1">
      <alignment horizontal="center" vertical="center"/>
    </xf>
    <xf numFmtId="0" fontId="10" fillId="0" borderId="12" xfId="0" applyFont="1" applyBorder="1" applyAlignment="1">
      <alignment horizontal="center" vertical="center" wrapText="1"/>
    </xf>
    <xf numFmtId="9" fontId="11" fillId="0" borderId="7" xfId="0" applyNumberFormat="1" applyFont="1" applyBorder="1" applyAlignment="1">
      <alignment horizontal="center" vertical="center"/>
    </xf>
    <xf numFmtId="0" fontId="10" fillId="0" borderId="7" xfId="0" applyFont="1" applyBorder="1" applyAlignment="1">
      <alignment horizontal="center" vertical="center" wrapText="1"/>
    </xf>
    <xf numFmtId="0" fontId="11" fillId="0" borderId="8" xfId="0" applyFont="1" applyBorder="1" applyAlignment="1">
      <alignment vertical="center" wrapText="1"/>
    </xf>
    <xf numFmtId="0" fontId="11" fillId="0" borderId="7" xfId="0" applyFont="1" applyBorder="1" applyAlignment="1">
      <alignment vertical="center" wrapText="1"/>
    </xf>
    <xf numFmtId="0" fontId="11" fillId="0" borderId="7" xfId="0" applyFont="1" applyBorder="1" applyAlignment="1">
      <alignment vertical="center"/>
    </xf>
    <xf numFmtId="0" fontId="11" fillId="0" borderId="8" xfId="0" applyFont="1" applyBorder="1" applyAlignment="1">
      <alignment vertical="center"/>
    </xf>
    <xf numFmtId="9" fontId="11" fillId="0" borderId="8" xfId="0" applyNumberFormat="1" applyFont="1" applyBorder="1" applyAlignment="1">
      <alignment vertical="center"/>
    </xf>
    <xf numFmtId="9" fontId="11" fillId="0" borderId="7" xfId="0" applyNumberFormat="1" applyFont="1" applyBorder="1" applyAlignment="1">
      <alignment vertical="center"/>
    </xf>
    <xf numFmtId="0" fontId="11" fillId="0" borderId="1" xfId="0" applyFont="1" applyBorder="1" applyAlignment="1">
      <alignment vertical="center"/>
    </xf>
    <xf numFmtId="0" fontId="11" fillId="0" borderId="9" xfId="0" applyFont="1" applyBorder="1" applyAlignment="1">
      <alignment vertical="center"/>
    </xf>
    <xf numFmtId="0" fontId="11" fillId="0" borderId="1" xfId="0" applyFont="1" applyBorder="1"/>
    <xf numFmtId="0" fontId="11" fillId="0" borderId="8" xfId="0" applyFont="1" applyBorder="1"/>
    <xf numFmtId="0" fontId="11" fillId="0" borderId="8" xfId="0" applyFont="1" applyBorder="1" applyAlignment="1">
      <alignment wrapText="1"/>
    </xf>
    <xf numFmtId="0" fontId="14" fillId="0" borderId="7" xfId="0" applyFont="1" applyBorder="1"/>
    <xf numFmtId="9" fontId="15" fillId="0" borderId="7" xfId="0" applyNumberFormat="1" applyFont="1" applyBorder="1"/>
    <xf numFmtId="0" fontId="11" fillId="0" borderId="9" xfId="0" applyFont="1" applyBorder="1"/>
    <xf numFmtId="0" fontId="11" fillId="0" borderId="7" xfId="0" applyFont="1" applyBorder="1"/>
    <xf numFmtId="0" fontId="11" fillId="0" borderId="7" xfId="0" applyFont="1" applyBorder="1" applyAlignment="1">
      <alignment wrapText="1"/>
    </xf>
    <xf numFmtId="9" fontId="14" fillId="0" borderId="7" xfId="0" applyNumberFormat="1" applyFont="1" applyBorder="1"/>
    <xf numFmtId="9" fontId="10" fillId="0" borderId="10" xfId="0" applyNumberFormat="1" applyFont="1" applyBorder="1" applyAlignment="1">
      <alignment vertical="center" wrapText="1"/>
    </xf>
    <xf numFmtId="0" fontId="10" fillId="0" borderId="14" xfId="0" applyFont="1" applyBorder="1" applyAlignment="1">
      <alignment vertical="center" wrapText="1"/>
    </xf>
    <xf numFmtId="0" fontId="10" fillId="0" borderId="5" xfId="0" applyFont="1" applyBorder="1" applyAlignment="1">
      <alignment vertical="center" wrapText="1"/>
    </xf>
    <xf numFmtId="0" fontId="10" fillId="0" borderId="15" xfId="0" applyFont="1" applyBorder="1" applyAlignment="1">
      <alignment vertical="center" wrapText="1"/>
    </xf>
    <xf numFmtId="0" fontId="10" fillId="0" borderId="16" xfId="0" applyFont="1" applyBorder="1" applyAlignment="1">
      <alignment vertical="center" wrapText="1"/>
    </xf>
    <xf numFmtId="9" fontId="10" fillId="0" borderId="5" xfId="0" applyNumberFormat="1" applyFont="1" applyBorder="1" applyAlignment="1">
      <alignment vertical="center" wrapText="1"/>
    </xf>
    <xf numFmtId="0" fontId="11" fillId="0" borderId="9" xfId="0" applyFont="1" applyBorder="1" applyAlignment="1">
      <alignment horizontal="left" wrapText="1"/>
    </xf>
    <xf numFmtId="0" fontId="0" fillId="0" borderId="1" xfId="0" applyBorder="1" applyAlignment="1">
      <alignment horizontal="left" vertical="center"/>
    </xf>
    <xf numFmtId="0" fontId="11" fillId="0" borderId="1" xfId="0" applyFont="1" applyBorder="1" applyAlignment="1">
      <alignment horizontal="left" wrapText="1"/>
    </xf>
    <xf numFmtId="0" fontId="0" fillId="0" borderId="1" xfId="0" applyBorder="1" applyAlignment="1">
      <alignment horizontal="left" vertical="center" wrapText="1"/>
    </xf>
    <xf numFmtId="9" fontId="0" fillId="0" borderId="1" xfId="2" applyFont="1" applyBorder="1" applyAlignment="1">
      <alignment vertical="center"/>
    </xf>
    <xf numFmtId="0" fontId="11" fillId="0" borderId="7" xfId="0" applyFont="1" applyBorder="1" applyAlignment="1">
      <alignment horizontal="left" vertical="center" wrapText="1"/>
    </xf>
    <xf numFmtId="0" fontId="0" fillId="0" borderId="1" xfId="0" applyBorder="1" applyAlignment="1">
      <alignment horizontal="left"/>
    </xf>
    <xf numFmtId="9" fontId="2" fillId="0" borderId="0" xfId="2" applyFont="1" applyAlignment="1">
      <alignment vertical="center"/>
    </xf>
    <xf numFmtId="9" fontId="1" fillId="3" borderId="1" xfId="2" applyFont="1" applyFill="1" applyBorder="1" applyAlignment="1">
      <alignment vertical="center"/>
    </xf>
    <xf numFmtId="9" fontId="0" fillId="0" borderId="0" xfId="2" applyFont="1" applyAlignment="1">
      <alignment vertical="center"/>
    </xf>
    <xf numFmtId="0" fontId="0" fillId="0" borderId="1" xfId="0" applyBorder="1" applyAlignment="1">
      <alignment horizontal="left" wrapText="1"/>
    </xf>
    <xf numFmtId="0" fontId="1" fillId="3" borderId="1" xfId="0" applyFont="1" applyFill="1" applyBorder="1" applyAlignment="1">
      <alignment horizontal="left" vertical="center"/>
    </xf>
    <xf numFmtId="0" fontId="0" fillId="0" borderId="0" xfId="0" applyAlignment="1">
      <alignment wrapText="1"/>
    </xf>
    <xf numFmtId="9" fontId="11" fillId="0" borderId="7" xfId="0" applyNumberFormat="1" applyFont="1" applyBorder="1" applyAlignment="1">
      <alignment vertical="center" wrapText="1"/>
    </xf>
    <xf numFmtId="0" fontId="0" fillId="4" borderId="1" xfId="0" applyFill="1" applyBorder="1" applyAlignment="1">
      <alignment horizontal="center" vertical="center"/>
    </xf>
    <xf numFmtId="9" fontId="11" fillId="0" borderId="1" xfId="0" applyNumberFormat="1" applyFont="1" applyBorder="1" applyAlignment="1">
      <alignment wrapText="1"/>
    </xf>
    <xf numFmtId="9" fontId="11" fillId="0" borderId="9" xfId="0" applyNumberFormat="1" applyFont="1" applyBorder="1" applyAlignment="1">
      <alignment wrapText="1"/>
    </xf>
    <xf numFmtId="9" fontId="0" fillId="0" borderId="1" xfId="2" applyFont="1" applyBorder="1" applyAlignment="1">
      <alignment vertical="center" wrapText="1"/>
    </xf>
    <xf numFmtId="9" fontId="11" fillId="0" borderId="8" xfId="0" applyNumberFormat="1" applyFont="1" applyBorder="1" applyAlignment="1">
      <alignment vertical="center" wrapText="1"/>
    </xf>
    <xf numFmtId="0" fontId="2" fillId="0" borderId="0" xfId="0" applyFont="1" applyAlignment="1">
      <alignment vertical="center"/>
    </xf>
    <xf numFmtId="0" fontId="1" fillId="3" borderId="1" xfId="0" applyFont="1" applyFill="1" applyBorder="1" applyAlignment="1">
      <alignment vertical="center"/>
    </xf>
    <xf numFmtId="0" fontId="0" fillId="0" borderId="0" xfId="0" applyAlignment="1">
      <alignment vertical="center"/>
    </xf>
    <xf numFmtId="0" fontId="11" fillId="0" borderId="5" xfId="0" applyFont="1" applyBorder="1" applyAlignment="1">
      <alignment horizontal="center" vertical="center" wrapText="1"/>
    </xf>
    <xf numFmtId="0" fontId="17" fillId="0" borderId="10" xfId="0" applyFont="1" applyBorder="1" applyAlignment="1">
      <alignment vertical="center" wrapText="1"/>
    </xf>
    <xf numFmtId="0" fontId="11" fillId="0" borderId="1" xfId="0" applyFont="1" applyBorder="1" applyAlignment="1">
      <alignment horizontal="center"/>
    </xf>
    <xf numFmtId="0" fontId="11" fillId="0" borderId="1" xfId="0" applyFont="1" applyBorder="1" applyAlignment="1">
      <alignment horizontal="center" wrapText="1"/>
    </xf>
    <xf numFmtId="0" fontId="11" fillId="0" borderId="8" xfId="0" applyFont="1" applyBorder="1" applyAlignment="1">
      <alignment horizontal="center" wrapText="1"/>
    </xf>
    <xf numFmtId="0" fontId="11" fillId="0" borderId="8" xfId="0" applyFont="1" applyBorder="1" applyAlignment="1">
      <alignment horizontal="center"/>
    </xf>
    <xf numFmtId="9" fontId="11" fillId="0" borderId="8" xfId="0" applyNumberFormat="1" applyFont="1" applyBorder="1" applyAlignment="1">
      <alignment horizontal="center"/>
    </xf>
    <xf numFmtId="0" fontId="7" fillId="2" borderId="2" xfId="1" applyFont="1" applyFill="1" applyBorder="1" applyAlignment="1">
      <alignment horizontal="center" vertical="center"/>
    </xf>
    <xf numFmtId="0" fontId="7" fillId="2" borderId="3" xfId="1" applyFont="1" applyFill="1" applyBorder="1" applyAlignment="1">
      <alignment horizontal="center" vertical="center"/>
    </xf>
    <xf numFmtId="0" fontId="7" fillId="2" borderId="4" xfId="1" applyFont="1" applyFill="1" applyBorder="1" applyAlignment="1">
      <alignment horizontal="center" vertical="center"/>
    </xf>
    <xf numFmtId="0" fontId="7" fillId="2" borderId="5" xfId="1" applyFont="1" applyFill="1" applyBorder="1" applyAlignment="1">
      <alignment horizontal="center" vertical="center"/>
    </xf>
    <xf numFmtId="0" fontId="7" fillId="2" borderId="6" xfId="1" applyFont="1" applyFill="1" applyBorder="1" applyAlignment="1">
      <alignment horizontal="center" vertical="center"/>
    </xf>
    <xf numFmtId="0" fontId="7" fillId="2" borderId="7" xfId="1" applyFont="1" applyFill="1" applyBorder="1" applyAlignment="1">
      <alignment horizontal="center" vertical="center"/>
    </xf>
    <xf numFmtId="0" fontId="9" fillId="2" borderId="1" xfId="1" applyFont="1" applyFill="1" applyBorder="1" applyAlignment="1">
      <alignment horizontal="center" vertical="center" wrapText="1"/>
    </xf>
    <xf numFmtId="0" fontId="8" fillId="2" borderId="1" xfId="1" applyFont="1" applyFill="1" applyBorder="1" applyAlignment="1">
      <alignment horizontal="center" vertical="center" wrapText="1"/>
    </xf>
  </cellXfs>
  <cellStyles count="4">
    <cellStyle name="Normal" xfId="0" builtinId="0"/>
    <cellStyle name="Normal 2" xfId="3" xr:uid="{43ED0722-77F8-4AF5-B697-82E1720C3D74}"/>
    <cellStyle name="Normal 3" xfId="1" xr:uid="{4A2B57F8-51E1-4775-9370-B3B21280ACAC}"/>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1257300</xdr:colOff>
      <xdr:row>0</xdr:row>
      <xdr:rowOff>0</xdr:rowOff>
    </xdr:from>
    <xdr:to>
      <xdr:col>1</xdr:col>
      <xdr:colOff>2011680</xdr:colOff>
      <xdr:row>2</xdr:row>
      <xdr:rowOff>144780</xdr:rowOff>
    </xdr:to>
    <xdr:pic>
      <xdr:nvPicPr>
        <xdr:cNvPr id="2" name="Imagen 1" descr="Logotipo&#10;&#10;Descripción generada automáticamente">
          <a:extLst>
            <a:ext uri="{FF2B5EF4-FFF2-40B4-BE49-F238E27FC236}">
              <a16:creationId xmlns:a16="http://schemas.microsoft.com/office/drawing/2014/main" id="{56E763DE-E65E-4182-A570-6FA60201EC81}"/>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foregroundMark x1="10704" y1="66168" x2="25070" y2="65794"/>
                      <a14:foregroundMark x1="25070" y1="65794" x2="26197" y2="65421"/>
                      <a14:foregroundMark x1="49014" y1="65607" x2="54930" y2="65421"/>
                      <a14:foregroundMark x1="78028" y1="66168" x2="78028" y2="66168"/>
                      <a14:foregroundMark x1="68732" y1="73271" x2="68732" y2="73271"/>
                      <a14:foregroundMark x1="32958" y1="72523" x2="32958" y2="72523"/>
                      <a14:foregroundMark x1="77183" y1="72336" x2="77183" y2="72336"/>
                      <a14:foregroundMark x1="23380" y1="86168" x2="23380" y2="86168"/>
                      <a14:foregroundMark x1="19437" y1="83738" x2="19437" y2="83738"/>
                      <a14:foregroundMark x1="38310" y1="84860" x2="38310" y2="84860"/>
                      <a14:foregroundMark x1="51549" y1="84112" x2="51549" y2="84112"/>
                      <a14:foregroundMark x1="66197" y1="85421" x2="66197" y2="85421"/>
                      <a14:foregroundMark x1="84225" y1="85607" x2="84225" y2="85607"/>
                      <a14:foregroundMark x1="77746" y1="74953" x2="77746" y2="74953"/>
                      <a14:foregroundMark x1="83944" y1="71215" x2="83944" y2="71215"/>
                      <a14:foregroundMark x1="83944" y1="87477" x2="83944" y2="87477"/>
                      <a14:backgroundMark x1="36901" y1="85421" x2="36901" y2="85421"/>
                      <a14:backgroundMark x1="85634" y1="85607" x2="85634" y2="85607"/>
                    </a14:backgroundRemoval>
                  </a14:imgEffect>
                </a14:imgLayer>
              </a14:imgProps>
            </a:ext>
          </a:extLst>
        </a:blip>
        <a:stretch>
          <a:fillRect/>
        </a:stretch>
      </xdr:blipFill>
      <xdr:spPr>
        <a:xfrm>
          <a:off x="1920240" y="0"/>
          <a:ext cx="754380" cy="5105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1257300</xdr:colOff>
      <xdr:row>0</xdr:row>
      <xdr:rowOff>0</xdr:rowOff>
    </xdr:from>
    <xdr:to>
      <xdr:col>1</xdr:col>
      <xdr:colOff>2011680</xdr:colOff>
      <xdr:row>2</xdr:row>
      <xdr:rowOff>144780</xdr:rowOff>
    </xdr:to>
    <xdr:pic>
      <xdr:nvPicPr>
        <xdr:cNvPr id="2" name="Imagen 1" descr="Logotipo&#10;&#10;Descripción generada automáticamente">
          <a:extLst>
            <a:ext uri="{FF2B5EF4-FFF2-40B4-BE49-F238E27FC236}">
              <a16:creationId xmlns:a16="http://schemas.microsoft.com/office/drawing/2014/main" id="{C0E9A792-2D87-4DAA-AD6C-8454EA5F9D1C}"/>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foregroundMark x1="10704" y1="66168" x2="25070" y2="65794"/>
                      <a14:foregroundMark x1="25070" y1="65794" x2="26197" y2="65421"/>
                      <a14:foregroundMark x1="49014" y1="65607" x2="54930" y2="65421"/>
                      <a14:foregroundMark x1="78028" y1="66168" x2="78028" y2="66168"/>
                      <a14:foregroundMark x1="68732" y1="73271" x2="68732" y2="73271"/>
                      <a14:foregroundMark x1="32958" y1="72523" x2="32958" y2="72523"/>
                      <a14:foregroundMark x1="77183" y1="72336" x2="77183" y2="72336"/>
                      <a14:foregroundMark x1="23380" y1="86168" x2="23380" y2="86168"/>
                      <a14:foregroundMark x1="19437" y1="83738" x2="19437" y2="83738"/>
                      <a14:foregroundMark x1="38310" y1="84860" x2="38310" y2="84860"/>
                      <a14:foregroundMark x1="51549" y1="84112" x2="51549" y2="84112"/>
                      <a14:foregroundMark x1="66197" y1="85421" x2="66197" y2="85421"/>
                      <a14:foregroundMark x1="84225" y1="85607" x2="84225" y2="85607"/>
                      <a14:foregroundMark x1="77746" y1="74953" x2="77746" y2="74953"/>
                      <a14:foregroundMark x1="83944" y1="71215" x2="83944" y2="71215"/>
                      <a14:foregroundMark x1="83944" y1="87477" x2="83944" y2="87477"/>
                      <a14:backgroundMark x1="36901" y1="85421" x2="36901" y2="85421"/>
                      <a14:backgroundMark x1="85634" y1="85607" x2="85634" y2="85607"/>
                    </a14:backgroundRemoval>
                  </a14:imgEffect>
                </a14:imgLayer>
              </a14:imgProps>
            </a:ext>
          </a:extLst>
        </a:blip>
        <a:stretch>
          <a:fillRect/>
        </a:stretch>
      </xdr:blipFill>
      <xdr:spPr>
        <a:xfrm>
          <a:off x="1920240" y="0"/>
          <a:ext cx="754380" cy="5105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1257300</xdr:colOff>
      <xdr:row>0</xdr:row>
      <xdr:rowOff>0</xdr:rowOff>
    </xdr:from>
    <xdr:to>
      <xdr:col>1</xdr:col>
      <xdr:colOff>2011680</xdr:colOff>
      <xdr:row>2</xdr:row>
      <xdr:rowOff>144780</xdr:rowOff>
    </xdr:to>
    <xdr:pic>
      <xdr:nvPicPr>
        <xdr:cNvPr id="2" name="Imagen 1" descr="Logotipo&#10;&#10;Descripción generada automáticamente">
          <a:extLst>
            <a:ext uri="{FF2B5EF4-FFF2-40B4-BE49-F238E27FC236}">
              <a16:creationId xmlns:a16="http://schemas.microsoft.com/office/drawing/2014/main" id="{09D8BAA9-654E-40F4-BA77-9B0C01C8682A}"/>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foregroundMark x1="10704" y1="66168" x2="25070" y2="65794"/>
                      <a14:foregroundMark x1="25070" y1="65794" x2="26197" y2="65421"/>
                      <a14:foregroundMark x1="49014" y1="65607" x2="54930" y2="65421"/>
                      <a14:foregroundMark x1="78028" y1="66168" x2="78028" y2="66168"/>
                      <a14:foregroundMark x1="68732" y1="73271" x2="68732" y2="73271"/>
                      <a14:foregroundMark x1="32958" y1="72523" x2="32958" y2="72523"/>
                      <a14:foregroundMark x1="77183" y1="72336" x2="77183" y2="72336"/>
                      <a14:foregroundMark x1="23380" y1="86168" x2="23380" y2="86168"/>
                      <a14:foregroundMark x1="19437" y1="83738" x2="19437" y2="83738"/>
                      <a14:foregroundMark x1="38310" y1="84860" x2="38310" y2="84860"/>
                      <a14:foregroundMark x1="51549" y1="84112" x2="51549" y2="84112"/>
                      <a14:foregroundMark x1="66197" y1="85421" x2="66197" y2="85421"/>
                      <a14:foregroundMark x1="84225" y1="85607" x2="84225" y2="85607"/>
                      <a14:foregroundMark x1="77746" y1="74953" x2="77746" y2="74953"/>
                      <a14:foregroundMark x1="83944" y1="71215" x2="83944" y2="71215"/>
                      <a14:foregroundMark x1="83944" y1="87477" x2="83944" y2="87477"/>
                      <a14:backgroundMark x1="36901" y1="85421" x2="36901" y2="85421"/>
                      <a14:backgroundMark x1="85634" y1="85607" x2="85634" y2="85607"/>
                    </a14:backgroundRemoval>
                  </a14:imgEffect>
                </a14:imgLayer>
              </a14:imgProps>
            </a:ext>
          </a:extLst>
        </a:blip>
        <a:stretch>
          <a:fillRect/>
        </a:stretch>
      </xdr:blipFill>
      <xdr:spPr>
        <a:xfrm>
          <a:off x="1905000" y="0"/>
          <a:ext cx="754380" cy="50673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1257300</xdr:colOff>
      <xdr:row>0</xdr:row>
      <xdr:rowOff>0</xdr:rowOff>
    </xdr:from>
    <xdr:to>
      <xdr:col>1</xdr:col>
      <xdr:colOff>2011680</xdr:colOff>
      <xdr:row>2</xdr:row>
      <xdr:rowOff>144780</xdr:rowOff>
    </xdr:to>
    <xdr:pic>
      <xdr:nvPicPr>
        <xdr:cNvPr id="2" name="Imagen 1" descr="Logotipo&#10;&#10;Descripción generada automáticamente">
          <a:extLst>
            <a:ext uri="{FF2B5EF4-FFF2-40B4-BE49-F238E27FC236}">
              <a16:creationId xmlns:a16="http://schemas.microsoft.com/office/drawing/2014/main" id="{94BC2478-8BA6-41DE-8640-C97B0D51B7C7}"/>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foregroundMark x1="10704" y1="66168" x2="25070" y2="65794"/>
                      <a14:foregroundMark x1="25070" y1="65794" x2="26197" y2="65421"/>
                      <a14:foregroundMark x1="49014" y1="65607" x2="54930" y2="65421"/>
                      <a14:foregroundMark x1="78028" y1="66168" x2="78028" y2="66168"/>
                      <a14:foregroundMark x1="68732" y1="73271" x2="68732" y2="73271"/>
                      <a14:foregroundMark x1="32958" y1="72523" x2="32958" y2="72523"/>
                      <a14:foregroundMark x1="77183" y1="72336" x2="77183" y2="72336"/>
                      <a14:foregroundMark x1="23380" y1="86168" x2="23380" y2="86168"/>
                      <a14:foregroundMark x1="19437" y1="83738" x2="19437" y2="83738"/>
                      <a14:foregroundMark x1="38310" y1="84860" x2="38310" y2="84860"/>
                      <a14:foregroundMark x1="51549" y1="84112" x2="51549" y2="84112"/>
                      <a14:foregroundMark x1="66197" y1="85421" x2="66197" y2="85421"/>
                      <a14:foregroundMark x1="84225" y1="85607" x2="84225" y2="85607"/>
                      <a14:foregroundMark x1="77746" y1="74953" x2="77746" y2="74953"/>
                      <a14:foregroundMark x1="83944" y1="71215" x2="83944" y2="71215"/>
                      <a14:foregroundMark x1="83944" y1="87477" x2="83944" y2="87477"/>
                      <a14:backgroundMark x1="36901" y1="85421" x2="36901" y2="85421"/>
                      <a14:backgroundMark x1="85634" y1="85607" x2="85634" y2="85607"/>
                    </a14:backgroundRemoval>
                  </a14:imgEffect>
                </a14:imgLayer>
              </a14:imgProps>
            </a:ext>
          </a:extLst>
        </a:blip>
        <a:stretch>
          <a:fillRect/>
        </a:stretch>
      </xdr:blipFill>
      <xdr:spPr>
        <a:xfrm>
          <a:off x="1905000" y="0"/>
          <a:ext cx="754380" cy="50673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1257300</xdr:colOff>
      <xdr:row>0</xdr:row>
      <xdr:rowOff>0</xdr:rowOff>
    </xdr:from>
    <xdr:to>
      <xdr:col>1</xdr:col>
      <xdr:colOff>2011680</xdr:colOff>
      <xdr:row>2</xdr:row>
      <xdr:rowOff>144780</xdr:rowOff>
    </xdr:to>
    <xdr:pic>
      <xdr:nvPicPr>
        <xdr:cNvPr id="2" name="Imagen 1" descr="Logotipo&#10;&#10;Descripción generada automáticamente">
          <a:extLst>
            <a:ext uri="{FF2B5EF4-FFF2-40B4-BE49-F238E27FC236}">
              <a16:creationId xmlns:a16="http://schemas.microsoft.com/office/drawing/2014/main" id="{57B67DA1-165D-4805-844A-5C545F8D44B3}"/>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foregroundMark x1="10704" y1="66168" x2="25070" y2="65794"/>
                      <a14:foregroundMark x1="25070" y1="65794" x2="26197" y2="65421"/>
                      <a14:foregroundMark x1="49014" y1="65607" x2="54930" y2="65421"/>
                      <a14:foregroundMark x1="78028" y1="66168" x2="78028" y2="66168"/>
                      <a14:foregroundMark x1="68732" y1="73271" x2="68732" y2="73271"/>
                      <a14:foregroundMark x1="32958" y1="72523" x2="32958" y2="72523"/>
                      <a14:foregroundMark x1="77183" y1="72336" x2="77183" y2="72336"/>
                      <a14:foregroundMark x1="23380" y1="86168" x2="23380" y2="86168"/>
                      <a14:foregroundMark x1="19437" y1="83738" x2="19437" y2="83738"/>
                      <a14:foregroundMark x1="38310" y1="84860" x2="38310" y2="84860"/>
                      <a14:foregroundMark x1="51549" y1="84112" x2="51549" y2="84112"/>
                      <a14:foregroundMark x1="66197" y1="85421" x2="66197" y2="85421"/>
                      <a14:foregroundMark x1="84225" y1="85607" x2="84225" y2="85607"/>
                      <a14:foregroundMark x1="77746" y1="74953" x2="77746" y2="74953"/>
                      <a14:foregroundMark x1="83944" y1="71215" x2="83944" y2="71215"/>
                      <a14:foregroundMark x1="83944" y1="87477" x2="83944" y2="87477"/>
                      <a14:backgroundMark x1="36901" y1="85421" x2="36901" y2="85421"/>
                      <a14:backgroundMark x1="85634" y1="85607" x2="85634" y2="85607"/>
                    </a14:backgroundRemoval>
                  </a14:imgEffect>
                </a14:imgLayer>
              </a14:imgProps>
            </a:ext>
          </a:extLst>
        </a:blip>
        <a:stretch>
          <a:fillRect/>
        </a:stretch>
      </xdr:blipFill>
      <xdr:spPr>
        <a:xfrm>
          <a:off x="1905000" y="0"/>
          <a:ext cx="754380" cy="50673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1257300</xdr:colOff>
      <xdr:row>0</xdr:row>
      <xdr:rowOff>0</xdr:rowOff>
    </xdr:from>
    <xdr:to>
      <xdr:col>1</xdr:col>
      <xdr:colOff>2011680</xdr:colOff>
      <xdr:row>2</xdr:row>
      <xdr:rowOff>144780</xdr:rowOff>
    </xdr:to>
    <xdr:pic>
      <xdr:nvPicPr>
        <xdr:cNvPr id="2" name="Imagen 1" descr="Logotipo&#10;&#10;Descripción generada automáticamente">
          <a:extLst>
            <a:ext uri="{FF2B5EF4-FFF2-40B4-BE49-F238E27FC236}">
              <a16:creationId xmlns:a16="http://schemas.microsoft.com/office/drawing/2014/main" id="{64C786CD-7C82-4108-AD9A-C2FF9C40CD0E}"/>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foregroundMark x1="10704" y1="66168" x2="25070" y2="65794"/>
                      <a14:foregroundMark x1="25070" y1="65794" x2="26197" y2="65421"/>
                      <a14:foregroundMark x1="49014" y1="65607" x2="54930" y2="65421"/>
                      <a14:foregroundMark x1="78028" y1="66168" x2="78028" y2="66168"/>
                      <a14:foregroundMark x1="68732" y1="73271" x2="68732" y2="73271"/>
                      <a14:foregroundMark x1="32958" y1="72523" x2="32958" y2="72523"/>
                      <a14:foregroundMark x1="77183" y1="72336" x2="77183" y2="72336"/>
                      <a14:foregroundMark x1="23380" y1="86168" x2="23380" y2="86168"/>
                      <a14:foregroundMark x1="19437" y1="83738" x2="19437" y2="83738"/>
                      <a14:foregroundMark x1="38310" y1="84860" x2="38310" y2="84860"/>
                      <a14:foregroundMark x1="51549" y1="84112" x2="51549" y2="84112"/>
                      <a14:foregroundMark x1="66197" y1="85421" x2="66197" y2="85421"/>
                      <a14:foregroundMark x1="84225" y1="85607" x2="84225" y2="85607"/>
                      <a14:foregroundMark x1="77746" y1="74953" x2="77746" y2="74953"/>
                      <a14:foregroundMark x1="83944" y1="71215" x2="83944" y2="71215"/>
                      <a14:foregroundMark x1="83944" y1="87477" x2="83944" y2="87477"/>
                      <a14:backgroundMark x1="36901" y1="85421" x2="36901" y2="85421"/>
                      <a14:backgroundMark x1="85634" y1="85607" x2="85634" y2="85607"/>
                    </a14:backgroundRemoval>
                  </a14:imgEffect>
                </a14:imgLayer>
              </a14:imgProps>
            </a:ext>
          </a:extLst>
        </a:blip>
        <a:stretch>
          <a:fillRect/>
        </a:stretch>
      </xdr:blipFill>
      <xdr:spPr>
        <a:xfrm>
          <a:off x="1905000" y="0"/>
          <a:ext cx="754380" cy="50673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1257300</xdr:colOff>
      <xdr:row>0</xdr:row>
      <xdr:rowOff>0</xdr:rowOff>
    </xdr:from>
    <xdr:to>
      <xdr:col>1</xdr:col>
      <xdr:colOff>2011680</xdr:colOff>
      <xdr:row>2</xdr:row>
      <xdr:rowOff>144780</xdr:rowOff>
    </xdr:to>
    <xdr:pic>
      <xdr:nvPicPr>
        <xdr:cNvPr id="2" name="Imagen 1" descr="Logotipo&#10;&#10;Descripción generada automáticamente">
          <a:extLst>
            <a:ext uri="{FF2B5EF4-FFF2-40B4-BE49-F238E27FC236}">
              <a16:creationId xmlns:a16="http://schemas.microsoft.com/office/drawing/2014/main" id="{891FC51D-E26B-4CF1-8B7E-A2374836DF70}"/>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foregroundMark x1="10704" y1="66168" x2="25070" y2="65794"/>
                      <a14:foregroundMark x1="25070" y1="65794" x2="26197" y2="65421"/>
                      <a14:foregroundMark x1="49014" y1="65607" x2="54930" y2="65421"/>
                      <a14:foregroundMark x1="78028" y1="66168" x2="78028" y2="66168"/>
                      <a14:foregroundMark x1="68732" y1="73271" x2="68732" y2="73271"/>
                      <a14:foregroundMark x1="32958" y1="72523" x2="32958" y2="72523"/>
                      <a14:foregroundMark x1="77183" y1="72336" x2="77183" y2="72336"/>
                      <a14:foregroundMark x1="23380" y1="86168" x2="23380" y2="86168"/>
                      <a14:foregroundMark x1="19437" y1="83738" x2="19437" y2="83738"/>
                      <a14:foregroundMark x1="38310" y1="84860" x2="38310" y2="84860"/>
                      <a14:foregroundMark x1="51549" y1="84112" x2="51549" y2="84112"/>
                      <a14:foregroundMark x1="66197" y1="85421" x2="66197" y2="85421"/>
                      <a14:foregroundMark x1="84225" y1="85607" x2="84225" y2="85607"/>
                      <a14:foregroundMark x1="77746" y1="74953" x2="77746" y2="74953"/>
                      <a14:foregroundMark x1="83944" y1="71215" x2="83944" y2="71215"/>
                      <a14:foregroundMark x1="83944" y1="87477" x2="83944" y2="87477"/>
                      <a14:backgroundMark x1="36901" y1="85421" x2="36901" y2="85421"/>
                      <a14:backgroundMark x1="85634" y1="85607" x2="85634" y2="85607"/>
                    </a14:backgroundRemoval>
                  </a14:imgEffect>
                </a14:imgLayer>
              </a14:imgProps>
            </a:ext>
          </a:extLst>
        </a:blip>
        <a:stretch>
          <a:fillRect/>
        </a:stretch>
      </xdr:blipFill>
      <xdr:spPr>
        <a:xfrm>
          <a:off x="1905000" y="0"/>
          <a:ext cx="754380" cy="50673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1257300</xdr:colOff>
      <xdr:row>0</xdr:row>
      <xdr:rowOff>0</xdr:rowOff>
    </xdr:from>
    <xdr:to>
      <xdr:col>1</xdr:col>
      <xdr:colOff>2011680</xdr:colOff>
      <xdr:row>2</xdr:row>
      <xdr:rowOff>144780</xdr:rowOff>
    </xdr:to>
    <xdr:pic>
      <xdr:nvPicPr>
        <xdr:cNvPr id="2" name="Imagen 1" descr="Logotipo&#10;&#10;Descripción generada automáticamente">
          <a:extLst>
            <a:ext uri="{FF2B5EF4-FFF2-40B4-BE49-F238E27FC236}">
              <a16:creationId xmlns:a16="http://schemas.microsoft.com/office/drawing/2014/main" id="{D62E6EBC-C033-4F62-8071-D519E34FF888}"/>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foregroundMark x1="10704" y1="66168" x2="25070" y2="65794"/>
                      <a14:foregroundMark x1="25070" y1="65794" x2="26197" y2="65421"/>
                      <a14:foregroundMark x1="49014" y1="65607" x2="54930" y2="65421"/>
                      <a14:foregroundMark x1="78028" y1="66168" x2="78028" y2="66168"/>
                      <a14:foregroundMark x1="68732" y1="73271" x2="68732" y2="73271"/>
                      <a14:foregroundMark x1="32958" y1="72523" x2="32958" y2="72523"/>
                      <a14:foregroundMark x1="77183" y1="72336" x2="77183" y2="72336"/>
                      <a14:foregroundMark x1="23380" y1="86168" x2="23380" y2="86168"/>
                      <a14:foregroundMark x1="19437" y1="83738" x2="19437" y2="83738"/>
                      <a14:foregroundMark x1="38310" y1="84860" x2="38310" y2="84860"/>
                      <a14:foregroundMark x1="51549" y1="84112" x2="51549" y2="84112"/>
                      <a14:foregroundMark x1="66197" y1="85421" x2="66197" y2="85421"/>
                      <a14:foregroundMark x1="84225" y1="85607" x2="84225" y2="85607"/>
                      <a14:foregroundMark x1="77746" y1="74953" x2="77746" y2="74953"/>
                      <a14:foregroundMark x1="83944" y1="71215" x2="83944" y2="71215"/>
                      <a14:foregroundMark x1="83944" y1="87477" x2="83944" y2="87477"/>
                      <a14:backgroundMark x1="36901" y1="85421" x2="36901" y2="85421"/>
                      <a14:backgroundMark x1="85634" y1="85607" x2="85634" y2="85607"/>
                    </a14:backgroundRemoval>
                  </a14:imgEffect>
                </a14:imgLayer>
              </a14:imgProps>
            </a:ext>
          </a:extLst>
        </a:blip>
        <a:stretch>
          <a:fillRect/>
        </a:stretch>
      </xdr:blipFill>
      <xdr:spPr>
        <a:xfrm>
          <a:off x="1905000" y="0"/>
          <a:ext cx="754380" cy="50673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1257300</xdr:colOff>
      <xdr:row>0</xdr:row>
      <xdr:rowOff>0</xdr:rowOff>
    </xdr:from>
    <xdr:to>
      <xdr:col>1</xdr:col>
      <xdr:colOff>2011680</xdr:colOff>
      <xdr:row>2</xdr:row>
      <xdr:rowOff>144780</xdr:rowOff>
    </xdr:to>
    <xdr:pic>
      <xdr:nvPicPr>
        <xdr:cNvPr id="2" name="Imagen 1" descr="Logotipo&#10;&#10;Descripción generada automáticamente">
          <a:extLst>
            <a:ext uri="{FF2B5EF4-FFF2-40B4-BE49-F238E27FC236}">
              <a16:creationId xmlns:a16="http://schemas.microsoft.com/office/drawing/2014/main" id="{B1529C9A-DA53-45DD-BAA1-EAA1299025D2}"/>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foregroundMark x1="10704" y1="66168" x2="25070" y2="65794"/>
                      <a14:foregroundMark x1="25070" y1="65794" x2="26197" y2="65421"/>
                      <a14:foregroundMark x1="49014" y1="65607" x2="54930" y2="65421"/>
                      <a14:foregroundMark x1="78028" y1="66168" x2="78028" y2="66168"/>
                      <a14:foregroundMark x1="68732" y1="73271" x2="68732" y2="73271"/>
                      <a14:foregroundMark x1="32958" y1="72523" x2="32958" y2="72523"/>
                      <a14:foregroundMark x1="77183" y1="72336" x2="77183" y2="72336"/>
                      <a14:foregroundMark x1="23380" y1="86168" x2="23380" y2="86168"/>
                      <a14:foregroundMark x1="19437" y1="83738" x2="19437" y2="83738"/>
                      <a14:foregroundMark x1="38310" y1="84860" x2="38310" y2="84860"/>
                      <a14:foregroundMark x1="51549" y1="84112" x2="51549" y2="84112"/>
                      <a14:foregroundMark x1="66197" y1="85421" x2="66197" y2="85421"/>
                      <a14:foregroundMark x1="84225" y1="85607" x2="84225" y2="85607"/>
                      <a14:foregroundMark x1="77746" y1="74953" x2="77746" y2="74953"/>
                      <a14:foregroundMark x1="83944" y1="71215" x2="83944" y2="71215"/>
                      <a14:foregroundMark x1="83944" y1="87477" x2="83944" y2="87477"/>
                      <a14:backgroundMark x1="36901" y1="85421" x2="36901" y2="85421"/>
                      <a14:backgroundMark x1="85634" y1="85607" x2="85634" y2="85607"/>
                    </a14:backgroundRemoval>
                  </a14:imgEffect>
                </a14:imgLayer>
              </a14:imgProps>
            </a:ext>
          </a:extLst>
        </a:blip>
        <a:stretch>
          <a:fillRect/>
        </a:stretch>
      </xdr:blipFill>
      <xdr:spPr>
        <a:xfrm>
          <a:off x="1905000" y="0"/>
          <a:ext cx="754380" cy="50673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1257300</xdr:colOff>
      <xdr:row>0</xdr:row>
      <xdr:rowOff>0</xdr:rowOff>
    </xdr:from>
    <xdr:to>
      <xdr:col>1</xdr:col>
      <xdr:colOff>2011680</xdr:colOff>
      <xdr:row>2</xdr:row>
      <xdr:rowOff>144780</xdr:rowOff>
    </xdr:to>
    <xdr:pic>
      <xdr:nvPicPr>
        <xdr:cNvPr id="2" name="Imagen 1" descr="Logotipo&#10;&#10;Descripción generada automáticamente">
          <a:extLst>
            <a:ext uri="{FF2B5EF4-FFF2-40B4-BE49-F238E27FC236}">
              <a16:creationId xmlns:a16="http://schemas.microsoft.com/office/drawing/2014/main" id="{B05301C5-3DE2-4098-8C0C-5AEF191F941F}"/>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foregroundMark x1="10704" y1="66168" x2="25070" y2="65794"/>
                      <a14:foregroundMark x1="25070" y1="65794" x2="26197" y2="65421"/>
                      <a14:foregroundMark x1="49014" y1="65607" x2="54930" y2="65421"/>
                      <a14:foregroundMark x1="78028" y1="66168" x2="78028" y2="66168"/>
                      <a14:foregroundMark x1="68732" y1="73271" x2="68732" y2="73271"/>
                      <a14:foregroundMark x1="32958" y1="72523" x2="32958" y2="72523"/>
                      <a14:foregroundMark x1="77183" y1="72336" x2="77183" y2="72336"/>
                      <a14:foregroundMark x1="23380" y1="86168" x2="23380" y2="86168"/>
                      <a14:foregroundMark x1="19437" y1="83738" x2="19437" y2="83738"/>
                      <a14:foregroundMark x1="38310" y1="84860" x2="38310" y2="84860"/>
                      <a14:foregroundMark x1="51549" y1="84112" x2="51549" y2="84112"/>
                      <a14:foregroundMark x1="66197" y1="85421" x2="66197" y2="85421"/>
                      <a14:foregroundMark x1="84225" y1="85607" x2="84225" y2="85607"/>
                      <a14:foregroundMark x1="77746" y1="74953" x2="77746" y2="74953"/>
                      <a14:foregroundMark x1="83944" y1="71215" x2="83944" y2="71215"/>
                      <a14:foregroundMark x1="83944" y1="87477" x2="83944" y2="87477"/>
                      <a14:backgroundMark x1="36901" y1="85421" x2="36901" y2="85421"/>
                      <a14:backgroundMark x1="85634" y1="85607" x2="85634" y2="85607"/>
                    </a14:backgroundRemoval>
                  </a14:imgEffect>
                </a14:imgLayer>
              </a14:imgProps>
            </a:ext>
          </a:extLst>
        </a:blip>
        <a:stretch>
          <a:fillRect/>
        </a:stretch>
      </xdr:blipFill>
      <xdr:spPr>
        <a:xfrm>
          <a:off x="1905000" y="0"/>
          <a:ext cx="754380" cy="50673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1257300</xdr:colOff>
      <xdr:row>0</xdr:row>
      <xdr:rowOff>0</xdr:rowOff>
    </xdr:from>
    <xdr:to>
      <xdr:col>1</xdr:col>
      <xdr:colOff>2011680</xdr:colOff>
      <xdr:row>2</xdr:row>
      <xdr:rowOff>144780</xdr:rowOff>
    </xdr:to>
    <xdr:pic>
      <xdr:nvPicPr>
        <xdr:cNvPr id="2" name="Imagen 1" descr="Logotipo&#10;&#10;Descripción generada automáticamente">
          <a:extLst>
            <a:ext uri="{FF2B5EF4-FFF2-40B4-BE49-F238E27FC236}">
              <a16:creationId xmlns:a16="http://schemas.microsoft.com/office/drawing/2014/main" id="{1696760A-D419-4333-92EB-DE819A9E9D94}"/>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foregroundMark x1="10704" y1="66168" x2="25070" y2="65794"/>
                      <a14:foregroundMark x1="25070" y1="65794" x2="26197" y2="65421"/>
                      <a14:foregroundMark x1="49014" y1="65607" x2="54930" y2="65421"/>
                      <a14:foregroundMark x1="78028" y1="66168" x2="78028" y2="66168"/>
                      <a14:foregroundMark x1="68732" y1="73271" x2="68732" y2="73271"/>
                      <a14:foregroundMark x1="32958" y1="72523" x2="32958" y2="72523"/>
                      <a14:foregroundMark x1="77183" y1="72336" x2="77183" y2="72336"/>
                      <a14:foregroundMark x1="23380" y1="86168" x2="23380" y2="86168"/>
                      <a14:foregroundMark x1="19437" y1="83738" x2="19437" y2="83738"/>
                      <a14:foregroundMark x1="38310" y1="84860" x2="38310" y2="84860"/>
                      <a14:foregroundMark x1="51549" y1="84112" x2="51549" y2="84112"/>
                      <a14:foregroundMark x1="66197" y1="85421" x2="66197" y2="85421"/>
                      <a14:foregroundMark x1="84225" y1="85607" x2="84225" y2="85607"/>
                      <a14:foregroundMark x1="77746" y1="74953" x2="77746" y2="74953"/>
                      <a14:foregroundMark x1="83944" y1="71215" x2="83944" y2="71215"/>
                      <a14:foregroundMark x1="83944" y1="87477" x2="83944" y2="87477"/>
                      <a14:backgroundMark x1="36901" y1="85421" x2="36901" y2="85421"/>
                      <a14:backgroundMark x1="85634" y1="85607" x2="85634" y2="85607"/>
                    </a14:backgroundRemoval>
                  </a14:imgEffect>
                </a14:imgLayer>
              </a14:imgProps>
            </a:ext>
          </a:extLst>
        </a:blip>
        <a:stretch>
          <a:fillRect/>
        </a:stretch>
      </xdr:blipFill>
      <xdr:spPr>
        <a:xfrm>
          <a:off x="1905000" y="0"/>
          <a:ext cx="754380" cy="50673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1257300</xdr:colOff>
      <xdr:row>0</xdr:row>
      <xdr:rowOff>0</xdr:rowOff>
    </xdr:from>
    <xdr:to>
      <xdr:col>1</xdr:col>
      <xdr:colOff>2011680</xdr:colOff>
      <xdr:row>2</xdr:row>
      <xdr:rowOff>144780</xdr:rowOff>
    </xdr:to>
    <xdr:pic>
      <xdr:nvPicPr>
        <xdr:cNvPr id="2" name="Imagen 1" descr="Logotipo&#10;&#10;Descripción generada automáticamente">
          <a:extLst>
            <a:ext uri="{FF2B5EF4-FFF2-40B4-BE49-F238E27FC236}">
              <a16:creationId xmlns:a16="http://schemas.microsoft.com/office/drawing/2014/main" id="{CC6C1B78-81CE-4FB3-9A5E-F2794333169B}"/>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foregroundMark x1="10704" y1="66168" x2="25070" y2="65794"/>
                      <a14:foregroundMark x1="25070" y1="65794" x2="26197" y2="65421"/>
                      <a14:foregroundMark x1="49014" y1="65607" x2="54930" y2="65421"/>
                      <a14:foregroundMark x1="78028" y1="66168" x2="78028" y2="66168"/>
                      <a14:foregroundMark x1="68732" y1="73271" x2="68732" y2="73271"/>
                      <a14:foregroundMark x1="32958" y1="72523" x2="32958" y2="72523"/>
                      <a14:foregroundMark x1="77183" y1="72336" x2="77183" y2="72336"/>
                      <a14:foregroundMark x1="23380" y1="86168" x2="23380" y2="86168"/>
                      <a14:foregroundMark x1="19437" y1="83738" x2="19437" y2="83738"/>
                      <a14:foregroundMark x1="38310" y1="84860" x2="38310" y2="84860"/>
                      <a14:foregroundMark x1="51549" y1="84112" x2="51549" y2="84112"/>
                      <a14:foregroundMark x1="66197" y1="85421" x2="66197" y2="85421"/>
                      <a14:foregroundMark x1="84225" y1="85607" x2="84225" y2="85607"/>
                      <a14:foregroundMark x1="77746" y1="74953" x2="77746" y2="74953"/>
                      <a14:foregroundMark x1="83944" y1="71215" x2="83944" y2="71215"/>
                      <a14:foregroundMark x1="83944" y1="87477" x2="83944" y2="87477"/>
                      <a14:backgroundMark x1="36901" y1="85421" x2="36901" y2="85421"/>
                      <a14:backgroundMark x1="85634" y1="85607" x2="85634" y2="85607"/>
                    </a14:backgroundRemoval>
                  </a14:imgEffect>
                </a14:imgLayer>
              </a14:imgProps>
            </a:ext>
          </a:extLst>
        </a:blip>
        <a:stretch>
          <a:fillRect/>
        </a:stretch>
      </xdr:blipFill>
      <xdr:spPr>
        <a:xfrm>
          <a:off x="1905000" y="0"/>
          <a:ext cx="754380" cy="50673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1257300</xdr:colOff>
      <xdr:row>0</xdr:row>
      <xdr:rowOff>0</xdr:rowOff>
    </xdr:from>
    <xdr:to>
      <xdr:col>1</xdr:col>
      <xdr:colOff>2011680</xdr:colOff>
      <xdr:row>2</xdr:row>
      <xdr:rowOff>144780</xdr:rowOff>
    </xdr:to>
    <xdr:pic>
      <xdr:nvPicPr>
        <xdr:cNvPr id="2" name="Imagen 1" descr="Logotipo&#10;&#10;Descripción generada automáticamente">
          <a:extLst>
            <a:ext uri="{FF2B5EF4-FFF2-40B4-BE49-F238E27FC236}">
              <a16:creationId xmlns:a16="http://schemas.microsoft.com/office/drawing/2014/main" id="{0980CE67-8FBC-401C-B9B1-D79C66A4CAC4}"/>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foregroundMark x1="10704" y1="66168" x2="25070" y2="65794"/>
                      <a14:foregroundMark x1="25070" y1="65794" x2="26197" y2="65421"/>
                      <a14:foregroundMark x1="49014" y1="65607" x2="54930" y2="65421"/>
                      <a14:foregroundMark x1="78028" y1="66168" x2="78028" y2="66168"/>
                      <a14:foregroundMark x1="68732" y1="73271" x2="68732" y2="73271"/>
                      <a14:foregroundMark x1="32958" y1="72523" x2="32958" y2="72523"/>
                      <a14:foregroundMark x1="77183" y1="72336" x2="77183" y2="72336"/>
                      <a14:foregroundMark x1="23380" y1="86168" x2="23380" y2="86168"/>
                      <a14:foregroundMark x1="19437" y1="83738" x2="19437" y2="83738"/>
                      <a14:foregroundMark x1="38310" y1="84860" x2="38310" y2="84860"/>
                      <a14:foregroundMark x1="51549" y1="84112" x2="51549" y2="84112"/>
                      <a14:foregroundMark x1="66197" y1="85421" x2="66197" y2="85421"/>
                      <a14:foregroundMark x1="84225" y1="85607" x2="84225" y2="85607"/>
                      <a14:foregroundMark x1="77746" y1="74953" x2="77746" y2="74953"/>
                      <a14:foregroundMark x1="83944" y1="71215" x2="83944" y2="71215"/>
                      <a14:foregroundMark x1="83944" y1="87477" x2="83944" y2="87477"/>
                      <a14:backgroundMark x1="36901" y1="85421" x2="36901" y2="85421"/>
                      <a14:backgroundMark x1="85634" y1="85607" x2="85634" y2="85607"/>
                    </a14:backgroundRemoval>
                  </a14:imgEffect>
                </a14:imgLayer>
              </a14:imgProps>
            </a:ext>
          </a:extLst>
        </a:blip>
        <a:stretch>
          <a:fillRect/>
        </a:stretch>
      </xdr:blipFill>
      <xdr:spPr>
        <a:xfrm>
          <a:off x="1905000" y="0"/>
          <a:ext cx="754380" cy="50673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1257300</xdr:colOff>
      <xdr:row>0</xdr:row>
      <xdr:rowOff>0</xdr:rowOff>
    </xdr:from>
    <xdr:to>
      <xdr:col>1</xdr:col>
      <xdr:colOff>2011680</xdr:colOff>
      <xdr:row>2</xdr:row>
      <xdr:rowOff>144780</xdr:rowOff>
    </xdr:to>
    <xdr:pic>
      <xdr:nvPicPr>
        <xdr:cNvPr id="2" name="Imagen 1" descr="Logotipo&#10;&#10;Descripción generada automáticamente">
          <a:extLst>
            <a:ext uri="{FF2B5EF4-FFF2-40B4-BE49-F238E27FC236}">
              <a16:creationId xmlns:a16="http://schemas.microsoft.com/office/drawing/2014/main" id="{21D8C7A8-9A44-4441-A9BF-1DE75F782FC5}"/>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foregroundMark x1="10704" y1="66168" x2="25070" y2="65794"/>
                      <a14:foregroundMark x1="25070" y1="65794" x2="26197" y2="65421"/>
                      <a14:foregroundMark x1="49014" y1="65607" x2="54930" y2="65421"/>
                      <a14:foregroundMark x1="78028" y1="66168" x2="78028" y2="66168"/>
                      <a14:foregroundMark x1="68732" y1="73271" x2="68732" y2="73271"/>
                      <a14:foregroundMark x1="32958" y1="72523" x2="32958" y2="72523"/>
                      <a14:foregroundMark x1="77183" y1="72336" x2="77183" y2="72336"/>
                      <a14:foregroundMark x1="23380" y1="86168" x2="23380" y2="86168"/>
                      <a14:foregroundMark x1="19437" y1="83738" x2="19437" y2="83738"/>
                      <a14:foregroundMark x1="38310" y1="84860" x2="38310" y2="84860"/>
                      <a14:foregroundMark x1="51549" y1="84112" x2="51549" y2="84112"/>
                      <a14:foregroundMark x1="66197" y1="85421" x2="66197" y2="85421"/>
                      <a14:foregroundMark x1="84225" y1="85607" x2="84225" y2="85607"/>
                      <a14:foregroundMark x1="77746" y1="74953" x2="77746" y2="74953"/>
                      <a14:foregroundMark x1="83944" y1="71215" x2="83944" y2="71215"/>
                      <a14:foregroundMark x1="83944" y1="87477" x2="83944" y2="87477"/>
                      <a14:backgroundMark x1="36901" y1="85421" x2="36901" y2="85421"/>
                      <a14:backgroundMark x1="85634" y1="85607" x2="85634" y2="85607"/>
                    </a14:backgroundRemoval>
                  </a14:imgEffect>
                </a14:imgLayer>
              </a14:imgProps>
            </a:ext>
          </a:extLst>
        </a:blip>
        <a:stretch>
          <a:fillRect/>
        </a:stretch>
      </xdr:blipFill>
      <xdr:spPr>
        <a:xfrm>
          <a:off x="1905000" y="0"/>
          <a:ext cx="754380" cy="506730"/>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6.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7.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comments" Target="../comments8.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9.bin"/><Relationship Id="rId4"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0.bin"/><Relationship Id="rId4"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1.bin"/><Relationship Id="rId4"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2.xml"/><Relationship Id="rId1" Type="http://schemas.openxmlformats.org/officeDocument/2006/relationships/printerSettings" Target="../printerSettings/printerSettings12.bin"/><Relationship Id="rId4"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3.xml"/><Relationship Id="rId1" Type="http://schemas.openxmlformats.org/officeDocument/2006/relationships/printerSettings" Target="../printerSettings/printerSettings13.bin"/><Relationship Id="rId4"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4.xml"/><Relationship Id="rId1" Type="http://schemas.openxmlformats.org/officeDocument/2006/relationships/printerSettings" Target="../printerSettings/printerSettings14.bin"/><Relationship Id="rId4" Type="http://schemas.openxmlformats.org/officeDocument/2006/relationships/comments" Target="../comments1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99566-1C6C-4666-8FCB-713829E984BC}">
  <dimension ref="A1:H47"/>
  <sheetViews>
    <sheetView showGridLines="0" zoomScaleNormal="100" workbookViewId="0">
      <selection activeCell="C8" sqref="C8"/>
    </sheetView>
  </sheetViews>
  <sheetFormatPr baseColWidth="10" defaultColWidth="11.44140625" defaultRowHeight="14.4" x14ac:dyDescent="0.3"/>
  <cols>
    <col min="1" max="1" width="9.6640625" style="1" bestFit="1" customWidth="1"/>
    <col min="2" max="2" width="52.6640625" style="1" customWidth="1"/>
    <col min="3" max="3" width="82.44140625" style="1" bestFit="1" customWidth="1"/>
    <col min="4" max="4" width="21.6640625" style="1" bestFit="1" customWidth="1"/>
    <col min="5" max="5" width="9.88671875" style="6" bestFit="1" customWidth="1"/>
    <col min="6" max="6" width="13.5546875" style="1" customWidth="1"/>
    <col min="7" max="7" width="17.6640625" style="1" customWidth="1"/>
    <col min="8" max="8" width="44" style="1" customWidth="1"/>
  </cols>
  <sheetData>
    <row r="1" spans="1:8" ht="14.4" customHeight="1" x14ac:dyDescent="0.3">
      <c r="A1" s="95"/>
      <c r="B1" s="96"/>
      <c r="C1" s="101" t="s">
        <v>0</v>
      </c>
      <c r="D1" s="101"/>
      <c r="E1" s="101"/>
      <c r="F1" s="101"/>
      <c r="G1" s="101"/>
      <c r="H1" s="9" t="s">
        <v>1</v>
      </c>
    </row>
    <row r="2" spans="1:8" ht="14.4" customHeight="1" x14ac:dyDescent="0.3">
      <c r="A2" s="97"/>
      <c r="B2" s="98"/>
      <c r="C2" s="101"/>
      <c r="D2" s="101"/>
      <c r="E2" s="101"/>
      <c r="F2" s="101"/>
      <c r="G2" s="101"/>
      <c r="H2" s="9" t="s">
        <v>2</v>
      </c>
    </row>
    <row r="3" spans="1:8" ht="14.4" customHeight="1" x14ac:dyDescent="0.3">
      <c r="A3" s="99"/>
      <c r="B3" s="100"/>
      <c r="C3" s="101"/>
      <c r="D3" s="101"/>
      <c r="E3" s="101"/>
      <c r="F3" s="101"/>
      <c r="G3" s="101"/>
      <c r="H3" s="9" t="s">
        <v>3</v>
      </c>
    </row>
    <row r="4" spans="1:8" ht="15.75" customHeight="1" x14ac:dyDescent="0.3">
      <c r="A4" s="102" t="s">
        <v>4</v>
      </c>
      <c r="B4" s="102"/>
      <c r="C4" s="102" t="s">
        <v>5</v>
      </c>
      <c r="D4" s="102"/>
      <c r="E4" s="102"/>
      <c r="F4" s="102"/>
      <c r="G4" s="102"/>
      <c r="H4" s="9" t="s">
        <v>6</v>
      </c>
    </row>
    <row r="5" spans="1:8" ht="21" customHeight="1" x14ac:dyDescent="0.3">
      <c r="A5" s="102" t="s">
        <v>7</v>
      </c>
      <c r="B5" s="102"/>
      <c r="C5" s="102"/>
      <c r="D5" s="102"/>
      <c r="E5" s="102"/>
      <c r="F5" s="102"/>
      <c r="G5" s="102"/>
      <c r="H5" s="9" t="s">
        <v>8</v>
      </c>
    </row>
    <row r="7" spans="1:8" x14ac:dyDescent="0.3">
      <c r="A7" s="7" t="s">
        <v>9</v>
      </c>
      <c r="B7" s="10" t="s">
        <v>10</v>
      </c>
      <c r="C7" s="3"/>
      <c r="D7" s="3"/>
      <c r="E7" s="4"/>
      <c r="F7" s="3"/>
      <c r="G7" s="3"/>
      <c r="H7" s="3"/>
    </row>
    <row r="8" spans="1:8" x14ac:dyDescent="0.3">
      <c r="A8" s="7" t="s">
        <v>11</v>
      </c>
      <c r="B8" s="10" t="s">
        <v>12</v>
      </c>
      <c r="C8" s="3" t="s">
        <v>13</v>
      </c>
      <c r="D8" s="3"/>
      <c r="E8" s="4"/>
      <c r="F8" s="3"/>
      <c r="G8" s="3"/>
      <c r="H8" s="3"/>
    </row>
    <row r="9" spans="1:8" x14ac:dyDescent="0.3">
      <c r="A9" s="7" t="s">
        <v>14</v>
      </c>
      <c r="B9" s="10" t="s">
        <v>15</v>
      </c>
      <c r="C9" s="3"/>
      <c r="D9" s="3"/>
      <c r="E9" s="11">
        <f>SUM(E12:E1048576)</f>
        <v>1.2500000000000007</v>
      </c>
      <c r="F9" s="3"/>
      <c r="G9" s="3"/>
      <c r="H9" s="3"/>
    </row>
    <row r="10" spans="1:8" ht="9.6" customHeight="1" x14ac:dyDescent="0.3">
      <c r="A10" s="3"/>
      <c r="B10" s="3"/>
      <c r="C10" s="3"/>
      <c r="D10" s="3"/>
      <c r="E10" s="4"/>
      <c r="F10" s="3"/>
      <c r="G10" s="3"/>
      <c r="H10" s="3"/>
    </row>
    <row r="11" spans="1:8" s="1" customFormat="1" ht="27.6" customHeight="1" x14ac:dyDescent="0.3">
      <c r="A11" s="7" t="s">
        <v>16</v>
      </c>
      <c r="B11" s="7" t="s">
        <v>17</v>
      </c>
      <c r="C11" s="7" t="s">
        <v>18</v>
      </c>
      <c r="D11" s="7" t="s">
        <v>19</v>
      </c>
      <c r="E11" s="8" t="s">
        <v>20</v>
      </c>
      <c r="F11" s="7" t="s">
        <v>21</v>
      </c>
      <c r="G11" s="7" t="s">
        <v>22</v>
      </c>
      <c r="H11" s="7" t="s">
        <v>23</v>
      </c>
    </row>
    <row r="12" spans="1:8" ht="27.6" customHeight="1" x14ac:dyDescent="0.3">
      <c r="A12" s="2">
        <v>1</v>
      </c>
      <c r="B12" s="2" t="s">
        <v>24</v>
      </c>
      <c r="C12" s="2" t="s">
        <v>25</v>
      </c>
      <c r="D12" s="2" t="s">
        <v>26</v>
      </c>
      <c r="E12" s="5">
        <v>0.03</v>
      </c>
      <c r="F12" s="2" t="s">
        <v>27</v>
      </c>
      <c r="G12" s="2" t="s">
        <v>28</v>
      </c>
      <c r="H12" s="2" t="s">
        <v>29</v>
      </c>
    </row>
    <row r="13" spans="1:8" ht="27.6" customHeight="1" x14ac:dyDescent="0.3">
      <c r="A13" s="2">
        <f>+A12+1</f>
        <v>2</v>
      </c>
      <c r="B13" s="2" t="s">
        <v>30</v>
      </c>
      <c r="C13" s="2" t="s">
        <v>31</v>
      </c>
      <c r="D13" s="2" t="s">
        <v>26</v>
      </c>
      <c r="E13" s="5">
        <v>0.03</v>
      </c>
      <c r="F13" s="2" t="s">
        <v>27</v>
      </c>
      <c r="G13" s="2" t="s">
        <v>28</v>
      </c>
      <c r="H13" s="2" t="s">
        <v>29</v>
      </c>
    </row>
    <row r="14" spans="1:8" ht="27.6" customHeight="1" x14ac:dyDescent="0.3">
      <c r="A14" s="2">
        <f t="shared" ref="A14:A40" si="0">+A13+1</f>
        <v>3</v>
      </c>
      <c r="B14" s="2" t="s">
        <v>32</v>
      </c>
      <c r="C14" s="2" t="s">
        <v>33</v>
      </c>
      <c r="D14" s="2" t="s">
        <v>26</v>
      </c>
      <c r="E14" s="5">
        <v>0.1</v>
      </c>
      <c r="F14" s="2" t="s">
        <v>27</v>
      </c>
      <c r="G14" s="2" t="s">
        <v>28</v>
      </c>
      <c r="H14" s="2" t="s">
        <v>29</v>
      </c>
    </row>
    <row r="15" spans="1:8" ht="27.6" customHeight="1" x14ac:dyDescent="0.3">
      <c r="A15" s="2">
        <f t="shared" si="0"/>
        <v>4</v>
      </c>
      <c r="B15" s="2" t="s">
        <v>34</v>
      </c>
      <c r="C15" s="2" t="s">
        <v>35</v>
      </c>
      <c r="D15" s="2" t="s">
        <v>26</v>
      </c>
      <c r="E15" s="5">
        <v>0.1</v>
      </c>
      <c r="F15" s="2" t="s">
        <v>27</v>
      </c>
      <c r="G15" s="2" t="s">
        <v>28</v>
      </c>
      <c r="H15" s="2" t="s">
        <v>29</v>
      </c>
    </row>
    <row r="16" spans="1:8" ht="27.6" customHeight="1" x14ac:dyDescent="0.3">
      <c r="A16" s="2">
        <f t="shared" si="0"/>
        <v>5</v>
      </c>
      <c r="B16" s="2" t="s">
        <v>36</v>
      </c>
      <c r="C16" s="2" t="s">
        <v>37</v>
      </c>
      <c r="D16" s="2" t="s">
        <v>26</v>
      </c>
      <c r="E16" s="5">
        <v>0.03</v>
      </c>
      <c r="F16" s="2" t="s">
        <v>27</v>
      </c>
      <c r="G16" s="2" t="s">
        <v>28</v>
      </c>
      <c r="H16" s="2" t="s">
        <v>29</v>
      </c>
    </row>
    <row r="17" spans="1:8" ht="27.6" customHeight="1" x14ac:dyDescent="0.3">
      <c r="A17" s="2">
        <f t="shared" si="0"/>
        <v>6</v>
      </c>
      <c r="B17" s="2" t="s">
        <v>38</v>
      </c>
      <c r="C17" s="2" t="s">
        <v>39</v>
      </c>
      <c r="D17" s="2" t="s">
        <v>40</v>
      </c>
      <c r="E17" s="5">
        <v>0.03</v>
      </c>
      <c r="F17" s="2" t="s">
        <v>27</v>
      </c>
      <c r="G17" s="2" t="s">
        <v>28</v>
      </c>
      <c r="H17" s="2" t="s">
        <v>29</v>
      </c>
    </row>
    <row r="18" spans="1:8" ht="27.6" customHeight="1" x14ac:dyDescent="0.3">
      <c r="A18" s="2">
        <f t="shared" si="0"/>
        <v>7</v>
      </c>
      <c r="B18" s="2" t="s">
        <v>41</v>
      </c>
      <c r="C18" s="2" t="s">
        <v>42</v>
      </c>
      <c r="D18" s="2" t="s">
        <v>26</v>
      </c>
      <c r="E18" s="5">
        <v>0.03</v>
      </c>
      <c r="F18" s="2" t="s">
        <v>27</v>
      </c>
      <c r="G18" s="2" t="s">
        <v>28</v>
      </c>
      <c r="H18" s="2" t="s">
        <v>29</v>
      </c>
    </row>
    <row r="19" spans="1:8" ht="27.6" customHeight="1" x14ac:dyDescent="0.3">
      <c r="A19" s="2">
        <f t="shared" si="0"/>
        <v>8</v>
      </c>
      <c r="B19" s="2" t="s">
        <v>43</v>
      </c>
      <c r="C19" s="2" t="s">
        <v>44</v>
      </c>
      <c r="D19" s="2" t="s">
        <v>26</v>
      </c>
      <c r="E19" s="5">
        <v>0.22</v>
      </c>
      <c r="F19" s="2" t="s">
        <v>27</v>
      </c>
      <c r="G19" s="2" t="s">
        <v>28</v>
      </c>
      <c r="H19" s="2" t="s">
        <v>29</v>
      </c>
    </row>
    <row r="20" spans="1:8" ht="27.6" customHeight="1" x14ac:dyDescent="0.3">
      <c r="A20" s="2">
        <f t="shared" si="0"/>
        <v>9</v>
      </c>
      <c r="B20" s="2" t="s">
        <v>45</v>
      </c>
      <c r="C20" s="2" t="s">
        <v>46</v>
      </c>
      <c r="D20" s="2" t="s">
        <v>26</v>
      </c>
      <c r="E20" s="5">
        <v>0.03</v>
      </c>
      <c r="F20" s="2" t="s">
        <v>27</v>
      </c>
      <c r="G20" s="2" t="s">
        <v>28</v>
      </c>
      <c r="H20" s="2" t="s">
        <v>29</v>
      </c>
    </row>
    <row r="21" spans="1:8" ht="27.6" customHeight="1" x14ac:dyDescent="0.3">
      <c r="A21" s="2">
        <f t="shared" si="0"/>
        <v>10</v>
      </c>
      <c r="B21" s="2" t="s">
        <v>47</v>
      </c>
      <c r="C21" s="2" t="s">
        <v>48</v>
      </c>
      <c r="D21" s="2" t="s">
        <v>49</v>
      </c>
      <c r="E21" s="5">
        <v>0.03</v>
      </c>
      <c r="F21" s="2" t="s">
        <v>27</v>
      </c>
      <c r="G21" s="2" t="s">
        <v>28</v>
      </c>
      <c r="H21" s="2" t="s">
        <v>29</v>
      </c>
    </row>
    <row r="22" spans="1:8" ht="27.6" customHeight="1" x14ac:dyDescent="0.3">
      <c r="A22" s="2">
        <f t="shared" si="0"/>
        <v>11</v>
      </c>
      <c r="B22" s="2" t="s">
        <v>32</v>
      </c>
      <c r="C22" s="2" t="s">
        <v>50</v>
      </c>
      <c r="D22" s="2" t="s">
        <v>51</v>
      </c>
      <c r="E22" s="5">
        <v>0.03</v>
      </c>
      <c r="F22" s="2" t="s">
        <v>27</v>
      </c>
      <c r="G22" s="2" t="s">
        <v>28</v>
      </c>
      <c r="H22" s="2" t="s">
        <v>29</v>
      </c>
    </row>
    <row r="23" spans="1:8" ht="27.6" customHeight="1" x14ac:dyDescent="0.3">
      <c r="A23" s="2">
        <f t="shared" si="0"/>
        <v>12</v>
      </c>
      <c r="B23" s="2" t="s">
        <v>52</v>
      </c>
      <c r="C23" s="2" t="s">
        <v>53</v>
      </c>
      <c r="D23" s="2" t="s">
        <v>51</v>
      </c>
      <c r="E23" s="5">
        <v>0.03</v>
      </c>
      <c r="F23" s="2" t="s">
        <v>27</v>
      </c>
      <c r="G23" s="2" t="s">
        <v>28</v>
      </c>
      <c r="H23" s="2" t="s">
        <v>29</v>
      </c>
    </row>
    <row r="24" spans="1:8" ht="27.6" customHeight="1" x14ac:dyDescent="0.3">
      <c r="A24" s="2">
        <f t="shared" si="0"/>
        <v>13</v>
      </c>
      <c r="B24" s="2" t="s">
        <v>54</v>
      </c>
      <c r="C24" s="2" t="s">
        <v>55</v>
      </c>
      <c r="D24" s="2" t="s">
        <v>26</v>
      </c>
      <c r="E24" s="5">
        <v>0.03</v>
      </c>
      <c r="F24" s="2" t="s">
        <v>27</v>
      </c>
      <c r="G24" s="2" t="s">
        <v>28</v>
      </c>
      <c r="H24" s="2" t="s">
        <v>29</v>
      </c>
    </row>
    <row r="25" spans="1:8" ht="27.6" customHeight="1" x14ac:dyDescent="0.3">
      <c r="A25" s="2">
        <f t="shared" si="0"/>
        <v>14</v>
      </c>
      <c r="B25" s="2" t="s">
        <v>56</v>
      </c>
      <c r="C25" s="2" t="s">
        <v>57</v>
      </c>
      <c r="D25" s="2" t="s">
        <v>26</v>
      </c>
      <c r="E25" s="5">
        <v>0.02</v>
      </c>
      <c r="F25" s="2" t="s">
        <v>27</v>
      </c>
      <c r="G25" s="2" t="s">
        <v>28</v>
      </c>
      <c r="H25" s="2" t="s">
        <v>29</v>
      </c>
    </row>
    <row r="26" spans="1:8" ht="27.6" customHeight="1" x14ac:dyDescent="0.3">
      <c r="A26" s="2">
        <f t="shared" si="0"/>
        <v>15</v>
      </c>
      <c r="B26" s="2" t="s">
        <v>58</v>
      </c>
      <c r="C26" s="2" t="s">
        <v>59</v>
      </c>
      <c r="D26" s="2" t="s">
        <v>26</v>
      </c>
      <c r="E26" s="5">
        <v>0.02</v>
      </c>
      <c r="F26" s="2" t="s">
        <v>27</v>
      </c>
      <c r="G26" s="2" t="s">
        <v>28</v>
      </c>
      <c r="H26" s="2" t="s">
        <v>29</v>
      </c>
    </row>
    <row r="27" spans="1:8" ht="27.6" customHeight="1" x14ac:dyDescent="0.3">
      <c r="A27" s="2">
        <f t="shared" si="0"/>
        <v>16</v>
      </c>
      <c r="B27" s="2" t="s">
        <v>60</v>
      </c>
      <c r="C27" s="2" t="s">
        <v>61</v>
      </c>
      <c r="D27" s="2" t="s">
        <v>26</v>
      </c>
      <c r="E27" s="5">
        <v>0.02</v>
      </c>
      <c r="F27" s="2" t="s">
        <v>27</v>
      </c>
      <c r="G27" s="2" t="s">
        <v>28</v>
      </c>
      <c r="H27" s="2" t="s">
        <v>29</v>
      </c>
    </row>
    <row r="28" spans="1:8" ht="27.6" customHeight="1" x14ac:dyDescent="0.3">
      <c r="A28" s="2">
        <f t="shared" si="0"/>
        <v>17</v>
      </c>
      <c r="B28" s="2" t="s">
        <v>60</v>
      </c>
      <c r="C28" s="2" t="s">
        <v>62</v>
      </c>
      <c r="D28" s="2" t="s">
        <v>26</v>
      </c>
      <c r="E28" s="5">
        <v>0.02</v>
      </c>
      <c r="F28" s="2" t="s">
        <v>27</v>
      </c>
      <c r="G28" s="2" t="s">
        <v>28</v>
      </c>
      <c r="H28" s="2" t="s">
        <v>29</v>
      </c>
    </row>
    <row r="29" spans="1:8" ht="27.6" customHeight="1" x14ac:dyDescent="0.3">
      <c r="A29" s="2">
        <f t="shared" si="0"/>
        <v>18</v>
      </c>
      <c r="B29" s="2" t="s">
        <v>60</v>
      </c>
      <c r="C29" s="2" t="s">
        <v>63</v>
      </c>
      <c r="D29" s="2" t="s">
        <v>26</v>
      </c>
      <c r="E29" s="5">
        <v>0.02</v>
      </c>
      <c r="F29" s="2" t="s">
        <v>27</v>
      </c>
      <c r="G29" s="2" t="s">
        <v>28</v>
      </c>
      <c r="H29" s="2" t="s">
        <v>29</v>
      </c>
    </row>
    <row r="30" spans="1:8" ht="27.6" customHeight="1" x14ac:dyDescent="0.3">
      <c r="A30" s="2">
        <f t="shared" si="0"/>
        <v>19</v>
      </c>
      <c r="B30" s="2" t="s">
        <v>60</v>
      </c>
      <c r="C30" s="2" t="s">
        <v>63</v>
      </c>
      <c r="D30" s="2" t="s">
        <v>26</v>
      </c>
      <c r="E30" s="5">
        <v>0.03</v>
      </c>
      <c r="F30" s="2" t="s">
        <v>27</v>
      </c>
      <c r="G30" s="2" t="s">
        <v>28</v>
      </c>
      <c r="H30" s="2" t="s">
        <v>29</v>
      </c>
    </row>
    <row r="31" spans="1:8" ht="27.6" customHeight="1" x14ac:dyDescent="0.3">
      <c r="A31" s="2">
        <f t="shared" si="0"/>
        <v>20</v>
      </c>
      <c r="B31" s="2" t="s">
        <v>64</v>
      </c>
      <c r="C31" s="2" t="s">
        <v>65</v>
      </c>
      <c r="D31" s="2" t="s">
        <v>26</v>
      </c>
      <c r="E31" s="5">
        <v>0.04</v>
      </c>
      <c r="F31" s="2" t="s">
        <v>27</v>
      </c>
      <c r="G31" s="2" t="s">
        <v>28</v>
      </c>
      <c r="H31" s="2" t="s">
        <v>29</v>
      </c>
    </row>
    <row r="32" spans="1:8" ht="27.6" customHeight="1" x14ac:dyDescent="0.3">
      <c r="A32" s="2">
        <f t="shared" si="0"/>
        <v>21</v>
      </c>
      <c r="B32" s="2" t="s">
        <v>64</v>
      </c>
      <c r="C32" s="2" t="s">
        <v>66</v>
      </c>
      <c r="D32" s="2" t="s">
        <v>26</v>
      </c>
      <c r="E32" s="5">
        <v>0.04</v>
      </c>
      <c r="F32" s="2" t="s">
        <v>27</v>
      </c>
      <c r="G32" s="2" t="s">
        <v>28</v>
      </c>
      <c r="H32" s="2" t="s">
        <v>29</v>
      </c>
    </row>
    <row r="33" spans="1:8" ht="27.6" customHeight="1" x14ac:dyDescent="0.3">
      <c r="A33" s="2">
        <f t="shared" si="0"/>
        <v>22</v>
      </c>
      <c r="B33" s="2" t="s">
        <v>64</v>
      </c>
      <c r="C33" s="2" t="s">
        <v>67</v>
      </c>
      <c r="D33" s="2" t="s">
        <v>26</v>
      </c>
      <c r="E33" s="5">
        <v>0.04</v>
      </c>
      <c r="F33" s="2" t="s">
        <v>27</v>
      </c>
      <c r="G33" s="2" t="s">
        <v>28</v>
      </c>
      <c r="H33" s="2" t="s">
        <v>29</v>
      </c>
    </row>
    <row r="34" spans="1:8" ht="27.6" customHeight="1" x14ac:dyDescent="0.3">
      <c r="A34" s="2">
        <f t="shared" si="0"/>
        <v>23</v>
      </c>
      <c r="B34" s="2" t="s">
        <v>68</v>
      </c>
      <c r="C34" s="2" t="s">
        <v>69</v>
      </c>
      <c r="D34" s="2" t="s">
        <v>26</v>
      </c>
      <c r="E34" s="5">
        <v>0.03</v>
      </c>
      <c r="F34" s="2" t="s">
        <v>27</v>
      </c>
      <c r="G34" s="2" t="s">
        <v>28</v>
      </c>
      <c r="H34" s="2" t="s">
        <v>29</v>
      </c>
    </row>
    <row r="35" spans="1:8" ht="27.6" customHeight="1" x14ac:dyDescent="0.3">
      <c r="A35" s="2">
        <f t="shared" si="0"/>
        <v>24</v>
      </c>
      <c r="B35" s="2" t="s">
        <v>70</v>
      </c>
      <c r="C35" s="2" t="s">
        <v>71</v>
      </c>
      <c r="D35" s="2" t="s">
        <v>26</v>
      </c>
      <c r="E35" s="5">
        <v>0.03</v>
      </c>
      <c r="F35" s="2" t="s">
        <v>27</v>
      </c>
      <c r="G35" s="2" t="s">
        <v>28</v>
      </c>
      <c r="H35" s="2" t="s">
        <v>29</v>
      </c>
    </row>
    <row r="36" spans="1:8" ht="27.6" customHeight="1" x14ac:dyDescent="0.3">
      <c r="A36" s="2">
        <f t="shared" si="0"/>
        <v>25</v>
      </c>
      <c r="B36" s="2" t="s">
        <v>72</v>
      </c>
      <c r="C36" s="2" t="s">
        <v>73</v>
      </c>
      <c r="D36" s="2" t="s">
        <v>51</v>
      </c>
      <c r="E36" s="5">
        <v>0.06</v>
      </c>
      <c r="F36" s="2" t="s">
        <v>27</v>
      </c>
      <c r="G36" s="2" t="s">
        <v>28</v>
      </c>
      <c r="H36" s="2" t="s">
        <v>29</v>
      </c>
    </row>
    <row r="37" spans="1:8" ht="27.6" customHeight="1" x14ac:dyDescent="0.3">
      <c r="A37" s="2">
        <f t="shared" si="0"/>
        <v>26</v>
      </c>
      <c r="B37" s="2" t="s">
        <v>74</v>
      </c>
      <c r="C37" s="2" t="s">
        <v>75</v>
      </c>
      <c r="D37" s="2" t="s">
        <v>26</v>
      </c>
      <c r="E37" s="5">
        <v>0.03</v>
      </c>
      <c r="F37" s="2" t="s">
        <v>27</v>
      </c>
      <c r="G37" s="2" t="s">
        <v>28</v>
      </c>
      <c r="H37" s="2" t="s">
        <v>29</v>
      </c>
    </row>
    <row r="38" spans="1:8" ht="27.6" customHeight="1" x14ac:dyDescent="0.3">
      <c r="A38" s="2">
        <f t="shared" si="0"/>
        <v>27</v>
      </c>
      <c r="B38" s="2" t="s">
        <v>76</v>
      </c>
      <c r="C38" s="2" t="s">
        <v>77</v>
      </c>
      <c r="D38" s="2" t="s">
        <v>26</v>
      </c>
      <c r="E38" s="5">
        <v>0.03</v>
      </c>
      <c r="F38" s="2" t="s">
        <v>27</v>
      </c>
      <c r="G38" s="2" t="s">
        <v>28</v>
      </c>
      <c r="H38" s="2" t="s">
        <v>29</v>
      </c>
    </row>
    <row r="39" spans="1:8" ht="27.6" customHeight="1" x14ac:dyDescent="0.3">
      <c r="A39" s="2">
        <f t="shared" si="0"/>
        <v>28</v>
      </c>
      <c r="B39" s="2" t="s">
        <v>78</v>
      </c>
      <c r="C39" s="2" t="s">
        <v>79</v>
      </c>
      <c r="D39" s="2" t="s">
        <v>26</v>
      </c>
      <c r="E39" s="5">
        <v>0.05</v>
      </c>
      <c r="F39" s="2" t="s">
        <v>27</v>
      </c>
      <c r="G39" s="2" t="s">
        <v>28</v>
      </c>
      <c r="H39" s="2" t="s">
        <v>29</v>
      </c>
    </row>
    <row r="40" spans="1:8" ht="27.6" customHeight="1" x14ac:dyDescent="0.3">
      <c r="A40" s="2">
        <f t="shared" si="0"/>
        <v>29</v>
      </c>
      <c r="B40" s="2" t="s">
        <v>78</v>
      </c>
      <c r="C40" s="2" t="s">
        <v>80</v>
      </c>
      <c r="D40" s="2" t="s">
        <v>26</v>
      </c>
      <c r="E40" s="5">
        <v>0.05</v>
      </c>
      <c r="F40" s="2" t="s">
        <v>27</v>
      </c>
      <c r="G40" s="2" t="s">
        <v>28</v>
      </c>
      <c r="H40" s="2" t="s">
        <v>29</v>
      </c>
    </row>
    <row r="41" spans="1:8" ht="27.6" customHeight="1" x14ac:dyDescent="0.3">
      <c r="A41" s="2"/>
      <c r="B41" s="2"/>
      <c r="C41" s="2"/>
      <c r="D41" s="2"/>
      <c r="E41" s="5"/>
      <c r="F41" s="2"/>
      <c r="G41" s="2"/>
      <c r="H41" s="2"/>
    </row>
    <row r="42" spans="1:8" ht="27.6" customHeight="1" x14ac:dyDescent="0.3">
      <c r="A42" s="2"/>
      <c r="B42" s="2"/>
      <c r="C42" s="2"/>
      <c r="D42" s="2"/>
      <c r="E42" s="5"/>
      <c r="F42" s="2"/>
      <c r="G42" s="2"/>
      <c r="H42" s="2"/>
    </row>
    <row r="47" spans="1:8" x14ac:dyDescent="0.3">
      <c r="B47" s="1" t="s">
        <v>81</v>
      </c>
      <c r="C47" s="1" t="s">
        <v>82</v>
      </c>
      <c r="D47" s="1" t="s">
        <v>83</v>
      </c>
      <c r="H47" s="1" t="s">
        <v>84</v>
      </c>
    </row>
  </sheetData>
  <mergeCells count="5">
    <mergeCell ref="A1:B3"/>
    <mergeCell ref="C1:G3"/>
    <mergeCell ref="A4:B4"/>
    <mergeCell ref="C4:G5"/>
    <mergeCell ref="A5:B5"/>
  </mergeCells>
  <pageMargins left="0.7" right="0.7" top="0.75" bottom="0.75" header="0.3" footer="0.3"/>
  <pageSetup paperSize="9" orientation="portrait" verticalDpi="0"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80220009-66D3-456D-B9FC-2937C5A83EB2}">
          <x14:formula1>
            <xm:f>Hoja1!$A$1:$A$8</xm:f>
          </x14:formula1>
          <xm:sqref>D41:D42 D12:D37</xm:sqref>
        </x14:dataValidation>
        <x14:dataValidation type="list" allowBlank="1" showInputMessage="1" showErrorMessage="1" xr:uid="{99B8E4C4-507F-426E-94B3-B924894A04C3}">
          <x14:formula1>
            <xm:f>Hoja1!$B$1:$B$14</xm:f>
          </x14:formula1>
          <xm:sqref>F41:F42 F12:F37</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B1F43-AADE-4AF6-954F-6E11C5CBCF57}">
  <dimension ref="A1:H52"/>
  <sheetViews>
    <sheetView showGridLines="0" topLeftCell="A5" zoomScaleNormal="100" workbookViewId="0">
      <selection activeCell="C7" sqref="C7"/>
    </sheetView>
  </sheetViews>
  <sheetFormatPr baseColWidth="10" defaultColWidth="11.44140625" defaultRowHeight="14.4" x14ac:dyDescent="0.3"/>
  <cols>
    <col min="1" max="1" width="9.6640625" style="1" bestFit="1" customWidth="1"/>
    <col min="2" max="3" width="52.6640625" style="1" customWidth="1"/>
    <col min="4" max="4" width="11.5546875" style="1" bestFit="1" customWidth="1"/>
    <col min="5" max="5" width="9.88671875" style="6" bestFit="1" customWidth="1"/>
    <col min="6" max="6" width="11.5546875" style="1" customWidth="1"/>
    <col min="7" max="7" width="17.6640625" style="1" customWidth="1"/>
    <col min="8" max="8" width="44" style="1" customWidth="1"/>
  </cols>
  <sheetData>
    <row r="1" spans="1:8" ht="14.4" customHeight="1" x14ac:dyDescent="0.3">
      <c r="A1" s="95"/>
      <c r="B1" s="96"/>
      <c r="C1" s="101" t="s">
        <v>0</v>
      </c>
      <c r="D1" s="101"/>
      <c r="E1" s="101"/>
      <c r="F1" s="101"/>
      <c r="G1" s="101"/>
      <c r="H1" s="9" t="s">
        <v>1</v>
      </c>
    </row>
    <row r="2" spans="1:8" ht="14.4" customHeight="1" x14ac:dyDescent="0.3">
      <c r="A2" s="97"/>
      <c r="B2" s="98"/>
      <c r="C2" s="101"/>
      <c r="D2" s="101"/>
      <c r="E2" s="101"/>
      <c r="F2" s="101"/>
      <c r="G2" s="101"/>
      <c r="H2" s="9" t="s">
        <v>2</v>
      </c>
    </row>
    <row r="3" spans="1:8" ht="14.4" customHeight="1" x14ac:dyDescent="0.3">
      <c r="A3" s="99"/>
      <c r="B3" s="100"/>
      <c r="C3" s="101"/>
      <c r="D3" s="101"/>
      <c r="E3" s="101"/>
      <c r="F3" s="101"/>
      <c r="G3" s="101"/>
      <c r="H3" s="9" t="s">
        <v>3</v>
      </c>
    </row>
    <row r="4" spans="1:8" ht="14.4" customHeight="1" x14ac:dyDescent="0.3">
      <c r="A4" s="102" t="s">
        <v>4</v>
      </c>
      <c r="B4" s="102"/>
      <c r="C4" s="102" t="s">
        <v>5</v>
      </c>
      <c r="D4" s="102"/>
      <c r="E4" s="102"/>
      <c r="F4" s="102"/>
      <c r="G4" s="102"/>
      <c r="H4" s="9" t="s">
        <v>6</v>
      </c>
    </row>
    <row r="5" spans="1:8" ht="14.4" customHeight="1" x14ac:dyDescent="0.3">
      <c r="A5" s="102" t="s">
        <v>7</v>
      </c>
      <c r="B5" s="102"/>
      <c r="C5" s="102"/>
      <c r="D5" s="102"/>
      <c r="E5" s="102"/>
      <c r="F5" s="102"/>
      <c r="G5" s="102"/>
      <c r="H5" s="9" t="s">
        <v>8</v>
      </c>
    </row>
    <row r="7" spans="1:8" x14ac:dyDescent="0.3">
      <c r="A7" s="7" t="s">
        <v>9</v>
      </c>
      <c r="B7" s="10" t="s">
        <v>10</v>
      </c>
      <c r="C7" s="3"/>
      <c r="D7" s="3"/>
      <c r="E7" s="4"/>
      <c r="F7" s="3"/>
      <c r="G7" s="3"/>
      <c r="H7" s="3"/>
    </row>
    <row r="8" spans="1:8" x14ac:dyDescent="0.3">
      <c r="A8" s="7" t="s">
        <v>11</v>
      </c>
      <c r="B8" s="10" t="s">
        <v>85</v>
      </c>
      <c r="C8" s="3" t="s">
        <v>86</v>
      </c>
      <c r="D8" s="3"/>
      <c r="E8" s="4">
        <f>SUM(E12:E52)</f>
        <v>1.0000000000000004</v>
      </c>
      <c r="F8" s="3"/>
      <c r="G8" s="3"/>
      <c r="H8" s="3"/>
    </row>
    <row r="9" spans="1:8" x14ac:dyDescent="0.3">
      <c r="A9" s="7" t="s">
        <v>14</v>
      </c>
      <c r="B9" s="10" t="s">
        <v>13</v>
      </c>
      <c r="C9" s="3"/>
      <c r="D9" s="3"/>
      <c r="E9" s="4"/>
      <c r="F9" s="3"/>
      <c r="G9" s="3"/>
      <c r="H9" s="3"/>
    </row>
    <row r="10" spans="1:8" ht="9.6" customHeight="1" x14ac:dyDescent="0.3">
      <c r="A10" s="3"/>
      <c r="B10" s="3"/>
      <c r="C10" s="3"/>
      <c r="D10" s="3"/>
      <c r="E10" s="4"/>
      <c r="F10" s="3"/>
      <c r="G10" s="3"/>
      <c r="H10" s="3"/>
    </row>
    <row r="11" spans="1:8" s="1" customFormat="1" ht="27.6" customHeight="1" x14ac:dyDescent="0.3">
      <c r="A11" s="7" t="s">
        <v>16</v>
      </c>
      <c r="B11" s="7" t="s">
        <v>17</v>
      </c>
      <c r="C11" s="7" t="s">
        <v>18</v>
      </c>
      <c r="D11" s="7" t="s">
        <v>19</v>
      </c>
      <c r="E11" s="8" t="s">
        <v>20</v>
      </c>
      <c r="F11" s="7" t="s">
        <v>21</v>
      </c>
      <c r="G11" s="7" t="s">
        <v>22</v>
      </c>
      <c r="H11" s="7" t="s">
        <v>23</v>
      </c>
    </row>
    <row r="12" spans="1:8" ht="126.75" customHeight="1" x14ac:dyDescent="0.3">
      <c r="A12" s="49">
        <v>1</v>
      </c>
      <c r="B12" s="43" t="s">
        <v>87</v>
      </c>
      <c r="C12" s="43" t="s">
        <v>88</v>
      </c>
      <c r="D12" s="46" t="s">
        <v>89</v>
      </c>
      <c r="E12" s="47">
        <v>0.05</v>
      </c>
      <c r="F12" s="46" t="s">
        <v>27</v>
      </c>
      <c r="G12" s="46" t="s">
        <v>28</v>
      </c>
      <c r="H12" s="46" t="s">
        <v>29</v>
      </c>
    </row>
    <row r="13" spans="1:8" ht="126.75" customHeight="1" x14ac:dyDescent="0.3">
      <c r="A13" s="50">
        <v>2</v>
      </c>
      <c r="B13" s="44" t="s">
        <v>90</v>
      </c>
      <c r="C13" s="44" t="s">
        <v>91</v>
      </c>
      <c r="D13" s="45" t="s">
        <v>89</v>
      </c>
      <c r="E13" s="48">
        <v>0.02</v>
      </c>
      <c r="F13" s="45" t="s">
        <v>27</v>
      </c>
      <c r="G13" s="45" t="s">
        <v>28</v>
      </c>
      <c r="H13" s="45" t="s">
        <v>29</v>
      </c>
    </row>
    <row r="14" spans="1:8" ht="126.75" customHeight="1" x14ac:dyDescent="0.3">
      <c r="A14" s="49">
        <v>3</v>
      </c>
      <c r="B14" s="44" t="s">
        <v>92</v>
      </c>
      <c r="C14" s="44" t="s">
        <v>93</v>
      </c>
      <c r="D14" s="45" t="s">
        <v>51</v>
      </c>
      <c r="E14" s="48">
        <v>0.04</v>
      </c>
      <c r="F14" s="45" t="s">
        <v>27</v>
      </c>
      <c r="G14" s="45" t="s">
        <v>28</v>
      </c>
      <c r="H14" s="45" t="s">
        <v>29</v>
      </c>
    </row>
    <row r="15" spans="1:8" ht="126.75" customHeight="1" x14ac:dyDescent="0.3">
      <c r="A15" s="50">
        <v>4</v>
      </c>
      <c r="B15" s="45" t="s">
        <v>94</v>
      </c>
      <c r="C15" s="44" t="s">
        <v>95</v>
      </c>
      <c r="D15" s="45" t="s">
        <v>51</v>
      </c>
      <c r="E15" s="48">
        <v>0.02</v>
      </c>
      <c r="F15" s="45" t="s">
        <v>27</v>
      </c>
      <c r="G15" s="45" t="s">
        <v>28</v>
      </c>
      <c r="H15" s="45" t="s">
        <v>29</v>
      </c>
    </row>
    <row r="16" spans="1:8" ht="126.75" customHeight="1" x14ac:dyDescent="0.3">
      <c r="A16" s="49">
        <v>5</v>
      </c>
      <c r="B16" s="44" t="s">
        <v>96</v>
      </c>
      <c r="C16" s="44" t="s">
        <v>97</v>
      </c>
      <c r="D16" s="45" t="s">
        <v>26</v>
      </c>
      <c r="E16" s="48">
        <v>0.01</v>
      </c>
      <c r="F16" s="45" t="s">
        <v>27</v>
      </c>
      <c r="G16" s="45" t="s">
        <v>28</v>
      </c>
      <c r="H16" s="45" t="s">
        <v>29</v>
      </c>
    </row>
    <row r="17" spans="1:8" ht="126.75" customHeight="1" x14ac:dyDescent="0.3">
      <c r="A17" s="50">
        <v>6</v>
      </c>
      <c r="B17" s="44" t="s">
        <v>98</v>
      </c>
      <c r="C17" s="44" t="s">
        <v>99</v>
      </c>
      <c r="D17" s="45" t="s">
        <v>26</v>
      </c>
      <c r="E17" s="48">
        <v>0.01</v>
      </c>
      <c r="F17" s="45" t="s">
        <v>27</v>
      </c>
      <c r="G17" s="45" t="s">
        <v>28</v>
      </c>
      <c r="H17" s="45" t="s">
        <v>29</v>
      </c>
    </row>
    <row r="18" spans="1:8" ht="161.25" customHeight="1" x14ac:dyDescent="0.3">
      <c r="A18" s="49">
        <v>7</v>
      </c>
      <c r="B18" s="44" t="s">
        <v>100</v>
      </c>
      <c r="C18" s="44" t="s">
        <v>101</v>
      </c>
      <c r="D18" s="45" t="s">
        <v>26</v>
      </c>
      <c r="E18" s="48">
        <v>0.01</v>
      </c>
      <c r="F18" s="45" t="s">
        <v>27</v>
      </c>
      <c r="G18" s="45" t="s">
        <v>28</v>
      </c>
      <c r="H18" s="45" t="s">
        <v>29</v>
      </c>
    </row>
    <row r="19" spans="1:8" ht="161.25" customHeight="1" x14ac:dyDescent="0.3">
      <c r="A19" s="50">
        <v>8</v>
      </c>
      <c r="B19" s="44" t="s">
        <v>102</v>
      </c>
      <c r="C19" s="44" t="s">
        <v>103</v>
      </c>
      <c r="D19" s="45" t="s">
        <v>26</v>
      </c>
      <c r="E19" s="48">
        <v>0.01</v>
      </c>
      <c r="F19" s="45" t="s">
        <v>27</v>
      </c>
      <c r="G19" s="45" t="s">
        <v>28</v>
      </c>
      <c r="H19" s="45" t="s">
        <v>29</v>
      </c>
    </row>
    <row r="20" spans="1:8" ht="126.75" customHeight="1" x14ac:dyDescent="0.3">
      <c r="A20" s="49">
        <v>9</v>
      </c>
      <c r="B20" s="44" t="s">
        <v>104</v>
      </c>
      <c r="C20" s="44" t="s">
        <v>105</v>
      </c>
      <c r="D20" s="45" t="s">
        <v>26</v>
      </c>
      <c r="E20" s="48">
        <v>0.01</v>
      </c>
      <c r="F20" s="45" t="s">
        <v>27</v>
      </c>
      <c r="G20" s="45" t="s">
        <v>28</v>
      </c>
      <c r="H20" s="45" t="s">
        <v>29</v>
      </c>
    </row>
    <row r="21" spans="1:8" ht="126.75" customHeight="1" x14ac:dyDescent="0.3">
      <c r="A21" s="50">
        <v>10</v>
      </c>
      <c r="B21" s="45" t="s">
        <v>106</v>
      </c>
      <c r="C21" s="44" t="s">
        <v>107</v>
      </c>
      <c r="D21" s="45" t="s">
        <v>26</v>
      </c>
      <c r="E21" s="48">
        <v>0.01</v>
      </c>
      <c r="F21" s="45" t="s">
        <v>27</v>
      </c>
      <c r="G21" s="45" t="s">
        <v>28</v>
      </c>
      <c r="H21" s="45" t="s">
        <v>29</v>
      </c>
    </row>
    <row r="22" spans="1:8" ht="126.75" customHeight="1" x14ac:dyDescent="0.3">
      <c r="A22" s="49">
        <v>11</v>
      </c>
      <c r="B22" s="44" t="s">
        <v>108</v>
      </c>
      <c r="C22" s="44" t="s">
        <v>109</v>
      </c>
      <c r="D22" s="45" t="s">
        <v>51</v>
      </c>
      <c r="E22" s="48">
        <v>0.01</v>
      </c>
      <c r="F22" s="45" t="s">
        <v>27</v>
      </c>
      <c r="G22" s="45" t="s">
        <v>28</v>
      </c>
      <c r="H22" s="45" t="s">
        <v>29</v>
      </c>
    </row>
    <row r="23" spans="1:8" ht="186" customHeight="1" x14ac:dyDescent="0.3">
      <c r="A23" s="50">
        <v>12</v>
      </c>
      <c r="B23" s="44" t="s">
        <v>110</v>
      </c>
      <c r="C23" s="44" t="s">
        <v>111</v>
      </c>
      <c r="D23" s="45" t="s">
        <v>26</v>
      </c>
      <c r="E23" s="48">
        <v>0.04</v>
      </c>
      <c r="F23" s="45" t="s">
        <v>27</v>
      </c>
      <c r="G23" s="45" t="s">
        <v>28</v>
      </c>
      <c r="H23" s="45" t="s">
        <v>29</v>
      </c>
    </row>
    <row r="24" spans="1:8" ht="126.75" customHeight="1" x14ac:dyDescent="0.3">
      <c r="A24" s="49">
        <v>13</v>
      </c>
      <c r="B24" s="45" t="s">
        <v>112</v>
      </c>
      <c r="C24" s="44" t="s">
        <v>113</v>
      </c>
      <c r="D24" s="45" t="s">
        <v>26</v>
      </c>
      <c r="E24" s="48">
        <v>0.01</v>
      </c>
      <c r="F24" s="45" t="s">
        <v>27</v>
      </c>
      <c r="G24" s="45" t="s">
        <v>28</v>
      </c>
      <c r="H24" s="45" t="s">
        <v>29</v>
      </c>
    </row>
    <row r="25" spans="1:8" ht="126.75" customHeight="1" x14ac:dyDescent="0.3">
      <c r="A25" s="50">
        <v>14</v>
      </c>
      <c r="B25" s="44" t="s">
        <v>114</v>
      </c>
      <c r="C25" s="44" t="s">
        <v>115</v>
      </c>
      <c r="D25" s="45" t="s">
        <v>26</v>
      </c>
      <c r="E25" s="48">
        <v>0.01</v>
      </c>
      <c r="F25" s="45" t="s">
        <v>27</v>
      </c>
      <c r="G25" s="45" t="s">
        <v>28</v>
      </c>
      <c r="H25" s="45" t="s">
        <v>29</v>
      </c>
    </row>
    <row r="26" spans="1:8" ht="126.75" customHeight="1" x14ac:dyDescent="0.3">
      <c r="A26" s="49">
        <v>15</v>
      </c>
      <c r="B26" s="45" t="s">
        <v>116</v>
      </c>
      <c r="C26" s="44" t="s">
        <v>117</v>
      </c>
      <c r="D26" s="45" t="s">
        <v>26</v>
      </c>
      <c r="E26" s="48">
        <v>0.01</v>
      </c>
      <c r="F26" s="45" t="s">
        <v>27</v>
      </c>
      <c r="G26" s="45" t="s">
        <v>28</v>
      </c>
      <c r="H26" s="45" t="s">
        <v>29</v>
      </c>
    </row>
    <row r="27" spans="1:8" ht="126.75" customHeight="1" x14ac:dyDescent="0.3">
      <c r="A27" s="50">
        <v>16</v>
      </c>
      <c r="B27" s="44" t="s">
        <v>118</v>
      </c>
      <c r="C27" s="44" t="s">
        <v>119</v>
      </c>
      <c r="D27" s="45" t="s">
        <v>26</v>
      </c>
      <c r="E27" s="48">
        <v>0.01</v>
      </c>
      <c r="F27" s="45" t="s">
        <v>27</v>
      </c>
      <c r="G27" s="45" t="s">
        <v>28</v>
      </c>
      <c r="H27" s="45" t="s">
        <v>29</v>
      </c>
    </row>
    <row r="28" spans="1:8" ht="203.25" customHeight="1" x14ac:dyDescent="0.3">
      <c r="A28" s="49">
        <v>17</v>
      </c>
      <c r="B28" s="44" t="s">
        <v>120</v>
      </c>
      <c r="C28" s="44" t="s">
        <v>121</v>
      </c>
      <c r="D28" s="45" t="s">
        <v>26</v>
      </c>
      <c r="E28" s="48">
        <v>0.1</v>
      </c>
      <c r="F28" s="45" t="s">
        <v>27</v>
      </c>
      <c r="G28" s="45" t="s">
        <v>28</v>
      </c>
      <c r="H28" s="45" t="s">
        <v>29</v>
      </c>
    </row>
    <row r="29" spans="1:8" ht="243" customHeight="1" x14ac:dyDescent="0.3">
      <c r="A29" s="50">
        <v>18</v>
      </c>
      <c r="B29" s="44" t="s">
        <v>122</v>
      </c>
      <c r="C29" s="44" t="s">
        <v>123</v>
      </c>
      <c r="D29" s="45" t="s">
        <v>26</v>
      </c>
      <c r="E29" s="48">
        <v>0.05</v>
      </c>
      <c r="F29" s="45" t="s">
        <v>27</v>
      </c>
      <c r="G29" s="45" t="s">
        <v>28</v>
      </c>
      <c r="H29" s="45" t="s">
        <v>29</v>
      </c>
    </row>
    <row r="30" spans="1:8" ht="126.75" customHeight="1" x14ac:dyDescent="0.3">
      <c r="A30" s="49">
        <v>19</v>
      </c>
      <c r="B30" s="44" t="s">
        <v>124</v>
      </c>
      <c r="C30" s="44" t="s">
        <v>125</v>
      </c>
      <c r="D30" s="45" t="s">
        <v>26</v>
      </c>
      <c r="E30" s="48">
        <v>0.05</v>
      </c>
      <c r="F30" s="45" t="s">
        <v>27</v>
      </c>
      <c r="G30" s="45" t="s">
        <v>28</v>
      </c>
      <c r="H30" s="45" t="s">
        <v>29</v>
      </c>
    </row>
    <row r="31" spans="1:8" ht="126.75" customHeight="1" x14ac:dyDescent="0.3">
      <c r="A31" s="50">
        <v>20</v>
      </c>
      <c r="B31" s="44" t="s">
        <v>126</v>
      </c>
      <c r="C31" s="44" t="s">
        <v>127</v>
      </c>
      <c r="D31" s="45" t="s">
        <v>89</v>
      </c>
      <c r="E31" s="48">
        <v>0.01</v>
      </c>
      <c r="F31" s="45" t="s">
        <v>27</v>
      </c>
      <c r="G31" s="45" t="s">
        <v>28</v>
      </c>
      <c r="H31" s="45" t="s">
        <v>29</v>
      </c>
    </row>
    <row r="32" spans="1:8" ht="126.75" customHeight="1" x14ac:dyDescent="0.3">
      <c r="A32" s="49">
        <v>21</v>
      </c>
      <c r="B32" s="44" t="s">
        <v>128</v>
      </c>
      <c r="C32" s="44" t="s">
        <v>129</v>
      </c>
      <c r="D32" s="45" t="s">
        <v>51</v>
      </c>
      <c r="E32" s="48">
        <v>0.01</v>
      </c>
      <c r="F32" s="45" t="s">
        <v>27</v>
      </c>
      <c r="G32" s="45" t="s">
        <v>28</v>
      </c>
      <c r="H32" s="45" t="s">
        <v>29</v>
      </c>
    </row>
    <row r="33" spans="1:8" ht="126.75" customHeight="1" x14ac:dyDescent="0.3">
      <c r="A33" s="50">
        <v>22</v>
      </c>
      <c r="B33" s="44" t="s">
        <v>130</v>
      </c>
      <c r="C33" s="44" t="s">
        <v>131</v>
      </c>
      <c r="D33" s="45" t="s">
        <v>26</v>
      </c>
      <c r="E33" s="48">
        <v>0.01</v>
      </c>
      <c r="F33" s="45" t="s">
        <v>27</v>
      </c>
      <c r="G33" s="45" t="s">
        <v>28</v>
      </c>
      <c r="H33" s="45" t="s">
        <v>29</v>
      </c>
    </row>
    <row r="34" spans="1:8" ht="126.75" customHeight="1" x14ac:dyDescent="0.3">
      <c r="A34" s="49">
        <v>23</v>
      </c>
      <c r="B34" s="45" t="s">
        <v>132</v>
      </c>
      <c r="C34" s="44" t="s">
        <v>133</v>
      </c>
      <c r="D34" s="45" t="s">
        <v>26</v>
      </c>
      <c r="E34" s="48">
        <v>0.05</v>
      </c>
      <c r="F34" s="45" t="s">
        <v>27</v>
      </c>
      <c r="G34" s="45" t="s">
        <v>28</v>
      </c>
      <c r="H34" s="45" t="s">
        <v>29</v>
      </c>
    </row>
    <row r="35" spans="1:8" ht="126.75" customHeight="1" x14ac:dyDescent="0.3">
      <c r="A35" s="50">
        <v>24</v>
      </c>
      <c r="B35" s="45" t="s">
        <v>134</v>
      </c>
      <c r="C35" s="44" t="s">
        <v>135</v>
      </c>
      <c r="D35" s="45" t="s">
        <v>136</v>
      </c>
      <c r="E35" s="48">
        <v>0.04</v>
      </c>
      <c r="F35" s="45" t="s">
        <v>27</v>
      </c>
      <c r="G35" s="45" t="s">
        <v>28</v>
      </c>
      <c r="H35" s="45" t="s">
        <v>29</v>
      </c>
    </row>
    <row r="36" spans="1:8" ht="126.75" customHeight="1" x14ac:dyDescent="0.3">
      <c r="A36" s="49">
        <v>25</v>
      </c>
      <c r="B36" s="45" t="s">
        <v>137</v>
      </c>
      <c r="C36" s="44" t="s">
        <v>138</v>
      </c>
      <c r="D36" s="45" t="s">
        <v>136</v>
      </c>
      <c r="E36" s="48">
        <v>0.04</v>
      </c>
      <c r="F36" s="45" t="s">
        <v>27</v>
      </c>
      <c r="G36" s="45" t="s">
        <v>28</v>
      </c>
      <c r="H36" s="45" t="s">
        <v>29</v>
      </c>
    </row>
    <row r="37" spans="1:8" ht="126.75" customHeight="1" x14ac:dyDescent="0.3">
      <c r="A37" s="50">
        <v>26</v>
      </c>
      <c r="B37" s="44" t="s">
        <v>139</v>
      </c>
      <c r="C37" s="44" t="s">
        <v>140</v>
      </c>
      <c r="D37" s="45" t="s">
        <v>136</v>
      </c>
      <c r="E37" s="48">
        <v>0.02</v>
      </c>
      <c r="F37" s="45" t="s">
        <v>27</v>
      </c>
      <c r="G37" s="45" t="s">
        <v>28</v>
      </c>
      <c r="H37" s="45" t="s">
        <v>29</v>
      </c>
    </row>
    <row r="38" spans="1:8" ht="126.75" customHeight="1" x14ac:dyDescent="0.3">
      <c r="A38" s="49">
        <v>27</v>
      </c>
      <c r="B38" s="44" t="s">
        <v>141</v>
      </c>
      <c r="C38" s="44" t="s">
        <v>142</v>
      </c>
      <c r="D38" s="45" t="s">
        <v>136</v>
      </c>
      <c r="E38" s="48">
        <v>0.02</v>
      </c>
      <c r="F38" s="45" t="s">
        <v>27</v>
      </c>
      <c r="G38" s="45" t="s">
        <v>28</v>
      </c>
      <c r="H38" s="45" t="s">
        <v>29</v>
      </c>
    </row>
    <row r="39" spans="1:8" ht="126.75" customHeight="1" x14ac:dyDescent="0.3">
      <c r="A39" s="50">
        <v>28</v>
      </c>
      <c r="B39" s="45" t="s">
        <v>143</v>
      </c>
      <c r="C39" s="44" t="s">
        <v>144</v>
      </c>
      <c r="D39" s="45" t="s">
        <v>136</v>
      </c>
      <c r="E39" s="48">
        <v>0.02</v>
      </c>
      <c r="F39" s="45" t="s">
        <v>27</v>
      </c>
      <c r="G39" s="45" t="s">
        <v>28</v>
      </c>
      <c r="H39" s="45" t="s">
        <v>29</v>
      </c>
    </row>
    <row r="40" spans="1:8" ht="126.75" customHeight="1" x14ac:dyDescent="0.3">
      <c r="A40" s="49">
        <v>29</v>
      </c>
      <c r="B40" s="45" t="s">
        <v>145</v>
      </c>
      <c r="C40" s="44" t="s">
        <v>146</v>
      </c>
      <c r="D40" s="45" t="s">
        <v>136</v>
      </c>
      <c r="E40" s="48">
        <v>0.02</v>
      </c>
      <c r="F40" s="45" t="s">
        <v>27</v>
      </c>
      <c r="G40" s="45" t="s">
        <v>28</v>
      </c>
      <c r="H40" s="45" t="s">
        <v>29</v>
      </c>
    </row>
    <row r="41" spans="1:8" ht="126.75" customHeight="1" x14ac:dyDescent="0.3">
      <c r="A41" s="50">
        <v>30</v>
      </c>
      <c r="B41" s="44" t="s">
        <v>147</v>
      </c>
      <c r="C41" s="44" t="s">
        <v>148</v>
      </c>
      <c r="D41" s="45" t="s">
        <v>136</v>
      </c>
      <c r="E41" s="48">
        <v>0.03</v>
      </c>
      <c r="F41" s="45" t="s">
        <v>27</v>
      </c>
      <c r="G41" s="45" t="s">
        <v>28</v>
      </c>
      <c r="H41" s="45" t="s">
        <v>29</v>
      </c>
    </row>
    <row r="42" spans="1:8" ht="126.75" customHeight="1" x14ac:dyDescent="0.3">
      <c r="A42" s="49">
        <v>31</v>
      </c>
      <c r="B42" s="44" t="s">
        <v>149</v>
      </c>
      <c r="C42" s="44" t="s">
        <v>150</v>
      </c>
      <c r="D42" s="45" t="s">
        <v>136</v>
      </c>
      <c r="E42" s="48">
        <v>0.03</v>
      </c>
      <c r="F42" s="45" t="s">
        <v>27</v>
      </c>
      <c r="G42" s="45" t="s">
        <v>28</v>
      </c>
      <c r="H42" s="45" t="s">
        <v>29</v>
      </c>
    </row>
    <row r="43" spans="1:8" ht="126.75" customHeight="1" x14ac:dyDescent="0.3">
      <c r="A43" s="50">
        <v>32</v>
      </c>
      <c r="B43" s="45" t="s">
        <v>151</v>
      </c>
      <c r="C43" s="44" t="s">
        <v>152</v>
      </c>
      <c r="D43" s="45" t="s">
        <v>26</v>
      </c>
      <c r="E43" s="48">
        <v>0.01</v>
      </c>
      <c r="F43" s="45" t="s">
        <v>27</v>
      </c>
      <c r="G43" s="45" t="s">
        <v>28</v>
      </c>
      <c r="H43" s="45" t="s">
        <v>29</v>
      </c>
    </row>
    <row r="44" spans="1:8" ht="126.75" customHeight="1" x14ac:dyDescent="0.3">
      <c r="A44" s="49">
        <v>33</v>
      </c>
      <c r="B44" s="44" t="s">
        <v>153</v>
      </c>
      <c r="C44" s="44" t="s">
        <v>154</v>
      </c>
      <c r="D44" s="45" t="s">
        <v>51</v>
      </c>
      <c r="E44" s="48">
        <v>0.01</v>
      </c>
      <c r="F44" s="45" t="s">
        <v>27</v>
      </c>
      <c r="G44" s="45" t="s">
        <v>28</v>
      </c>
      <c r="H44" s="45" t="s">
        <v>29</v>
      </c>
    </row>
    <row r="45" spans="1:8" ht="126.75" customHeight="1" x14ac:dyDescent="0.3">
      <c r="A45" s="50">
        <v>34</v>
      </c>
      <c r="B45" s="45" t="s">
        <v>155</v>
      </c>
      <c r="C45" s="44" t="s">
        <v>156</v>
      </c>
      <c r="D45" s="45" t="s">
        <v>26</v>
      </c>
      <c r="E45" s="48">
        <v>0.01</v>
      </c>
      <c r="F45" s="45" t="s">
        <v>27</v>
      </c>
      <c r="G45" s="45" t="s">
        <v>28</v>
      </c>
      <c r="H45" s="45" t="s">
        <v>29</v>
      </c>
    </row>
    <row r="46" spans="1:8" ht="126.75" customHeight="1" x14ac:dyDescent="0.3">
      <c r="A46" s="49">
        <v>35</v>
      </c>
      <c r="B46" s="45" t="s">
        <v>157</v>
      </c>
      <c r="C46" s="44" t="s">
        <v>158</v>
      </c>
      <c r="D46" s="45" t="s">
        <v>26</v>
      </c>
      <c r="E46" s="48">
        <v>0.02</v>
      </c>
      <c r="F46" s="45" t="s">
        <v>27</v>
      </c>
      <c r="G46" s="45" t="s">
        <v>28</v>
      </c>
      <c r="H46" s="45" t="s">
        <v>29</v>
      </c>
    </row>
    <row r="47" spans="1:8" ht="126.75" customHeight="1" x14ac:dyDescent="0.3">
      <c r="A47" s="50">
        <v>36</v>
      </c>
      <c r="B47" s="44" t="s">
        <v>159</v>
      </c>
      <c r="C47" s="44" t="s">
        <v>160</v>
      </c>
      <c r="D47" s="45" t="s">
        <v>51</v>
      </c>
      <c r="E47" s="48">
        <v>0.06</v>
      </c>
      <c r="F47" s="45" t="s">
        <v>27</v>
      </c>
      <c r="G47" s="45" t="s">
        <v>28</v>
      </c>
      <c r="H47" s="45" t="s">
        <v>29</v>
      </c>
    </row>
    <row r="48" spans="1:8" ht="126.75" customHeight="1" x14ac:dyDescent="0.3">
      <c r="A48" s="49">
        <v>37</v>
      </c>
      <c r="B48" s="44" t="s">
        <v>161</v>
      </c>
      <c r="C48" s="44" t="s">
        <v>162</v>
      </c>
      <c r="D48" s="45" t="s">
        <v>26</v>
      </c>
      <c r="E48" s="48">
        <v>0.03</v>
      </c>
      <c r="F48" s="45" t="s">
        <v>27</v>
      </c>
      <c r="G48" s="45" t="s">
        <v>28</v>
      </c>
      <c r="H48" s="45" t="s">
        <v>29</v>
      </c>
    </row>
    <row r="49" spans="1:8" ht="126.75" customHeight="1" x14ac:dyDescent="0.3">
      <c r="A49" s="50">
        <v>38</v>
      </c>
      <c r="B49" s="44" t="s">
        <v>163</v>
      </c>
      <c r="C49" s="44" t="s">
        <v>164</v>
      </c>
      <c r="D49" s="45" t="s">
        <v>26</v>
      </c>
      <c r="E49" s="48">
        <v>0.01</v>
      </c>
      <c r="F49" s="45" t="s">
        <v>27</v>
      </c>
      <c r="G49" s="45" t="s">
        <v>28</v>
      </c>
      <c r="H49" s="45" t="s">
        <v>29</v>
      </c>
    </row>
    <row r="50" spans="1:8" ht="126.75" customHeight="1" x14ac:dyDescent="0.3">
      <c r="A50" s="49">
        <v>39</v>
      </c>
      <c r="B50" s="44" t="s">
        <v>165</v>
      </c>
      <c r="C50" s="44" t="s">
        <v>166</v>
      </c>
      <c r="D50" s="45" t="s">
        <v>136</v>
      </c>
      <c r="E50" s="48">
        <v>0.02</v>
      </c>
      <c r="F50" s="45" t="s">
        <v>27</v>
      </c>
      <c r="G50" s="45" t="s">
        <v>28</v>
      </c>
      <c r="H50" s="45" t="s">
        <v>167</v>
      </c>
    </row>
    <row r="51" spans="1:8" ht="126.75" customHeight="1" x14ac:dyDescent="0.3">
      <c r="A51" s="50">
        <v>40</v>
      </c>
      <c r="B51" s="44" t="s">
        <v>168</v>
      </c>
      <c r="C51" s="44" t="s">
        <v>169</v>
      </c>
      <c r="D51" s="45" t="s">
        <v>26</v>
      </c>
      <c r="E51" s="48">
        <v>0.01</v>
      </c>
      <c r="F51" s="45" t="s">
        <v>27</v>
      </c>
      <c r="G51" s="45" t="s">
        <v>28</v>
      </c>
      <c r="H51" s="45" t="s">
        <v>29</v>
      </c>
    </row>
    <row r="52" spans="1:8" ht="126.75" customHeight="1" x14ac:dyDescent="0.3">
      <c r="A52" s="49">
        <v>41</v>
      </c>
      <c r="B52" s="44" t="s">
        <v>170</v>
      </c>
      <c r="C52" s="44" t="s">
        <v>171</v>
      </c>
      <c r="D52" s="45" t="s">
        <v>172</v>
      </c>
      <c r="E52" s="48">
        <v>0.04</v>
      </c>
      <c r="F52" s="45" t="s">
        <v>27</v>
      </c>
      <c r="G52" s="45" t="s">
        <v>28</v>
      </c>
      <c r="H52" s="45" t="s">
        <v>29</v>
      </c>
    </row>
  </sheetData>
  <autoFilter ref="A11:H11" xr:uid="{E65B1F43-AADE-4AF6-954F-6E11C5CBCF57}"/>
  <mergeCells count="5">
    <mergeCell ref="A1:B3"/>
    <mergeCell ref="C1:G3"/>
    <mergeCell ref="A4:B4"/>
    <mergeCell ref="C4:G5"/>
    <mergeCell ref="A5:B5"/>
  </mergeCells>
  <pageMargins left="0.7" right="0.7" top="0.75" bottom="0.75" header="0.3" footer="0.3"/>
  <pageSetup paperSize="9" orientation="portrait" verticalDpi="0"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74E97-30D8-4B95-B52C-EFBCA6FA7D51}">
  <dimension ref="A1:H64"/>
  <sheetViews>
    <sheetView showGridLines="0" tabSelected="1" topLeftCell="A45" workbookViewId="0">
      <selection activeCell="B47" sqref="B47"/>
    </sheetView>
  </sheetViews>
  <sheetFormatPr baseColWidth="10" defaultColWidth="11.44140625" defaultRowHeight="14.4" x14ac:dyDescent="0.3"/>
  <cols>
    <col min="1" max="1" width="9.6640625" style="1" bestFit="1" customWidth="1"/>
    <col min="2" max="3" width="52.6640625" style="1" customWidth="1"/>
    <col min="4" max="4" width="11.5546875" style="1" bestFit="1" customWidth="1"/>
    <col min="5" max="5" width="9.88671875" style="6" bestFit="1" customWidth="1"/>
    <col min="6" max="6" width="11.5546875" style="1" customWidth="1"/>
    <col min="7" max="7" width="17.6640625" style="1" customWidth="1"/>
    <col min="8" max="8" width="44" style="1" customWidth="1"/>
  </cols>
  <sheetData>
    <row r="1" spans="1:8" ht="14.4" customHeight="1" x14ac:dyDescent="0.3">
      <c r="A1" s="95"/>
      <c r="B1" s="96"/>
      <c r="C1" s="101" t="s">
        <v>0</v>
      </c>
      <c r="D1" s="101"/>
      <c r="E1" s="101"/>
      <c r="F1" s="101"/>
      <c r="G1" s="101"/>
      <c r="H1" s="9" t="s">
        <v>1</v>
      </c>
    </row>
    <row r="2" spans="1:8" ht="14.4" customHeight="1" x14ac:dyDescent="0.3">
      <c r="A2" s="97"/>
      <c r="B2" s="98"/>
      <c r="C2" s="101"/>
      <c r="D2" s="101"/>
      <c r="E2" s="101"/>
      <c r="F2" s="101"/>
      <c r="G2" s="101"/>
      <c r="H2" s="9" t="s">
        <v>2</v>
      </c>
    </row>
    <row r="3" spans="1:8" ht="14.4" customHeight="1" x14ac:dyDescent="0.3">
      <c r="A3" s="99"/>
      <c r="B3" s="100"/>
      <c r="C3" s="101"/>
      <c r="D3" s="101"/>
      <c r="E3" s="101"/>
      <c r="F3" s="101"/>
      <c r="G3" s="101"/>
      <c r="H3" s="9" t="s">
        <v>3</v>
      </c>
    </row>
    <row r="4" spans="1:8" ht="14.4" customHeight="1" x14ac:dyDescent="0.3">
      <c r="A4" s="102" t="s">
        <v>4</v>
      </c>
      <c r="B4" s="102"/>
      <c r="C4" s="102" t="s">
        <v>5</v>
      </c>
      <c r="D4" s="102"/>
      <c r="E4" s="102"/>
      <c r="F4" s="102"/>
      <c r="G4" s="102"/>
      <c r="H4" s="9" t="s">
        <v>6</v>
      </c>
    </row>
    <row r="5" spans="1:8" ht="14.4" customHeight="1" x14ac:dyDescent="0.3">
      <c r="A5" s="102" t="s">
        <v>7</v>
      </c>
      <c r="B5" s="102"/>
      <c r="C5" s="102"/>
      <c r="D5" s="102"/>
      <c r="E5" s="102"/>
      <c r="F5" s="102"/>
      <c r="G5" s="102"/>
      <c r="H5" s="9" t="s">
        <v>8</v>
      </c>
    </row>
    <row r="7" spans="1:8" x14ac:dyDescent="0.3">
      <c r="A7" s="7" t="s">
        <v>9</v>
      </c>
      <c r="B7" s="10" t="s">
        <v>10</v>
      </c>
      <c r="C7" s="3"/>
      <c r="D7" s="3"/>
      <c r="E7" s="4"/>
      <c r="F7" s="3"/>
      <c r="G7" s="3"/>
      <c r="H7" s="3"/>
    </row>
    <row r="8" spans="1:8" x14ac:dyDescent="0.3">
      <c r="A8" s="7" t="s">
        <v>11</v>
      </c>
      <c r="B8" s="10" t="s">
        <v>173</v>
      </c>
      <c r="C8" s="3" t="s">
        <v>174</v>
      </c>
      <c r="D8" s="3"/>
      <c r="E8" s="4">
        <f>SUM(E12:E59)</f>
        <v>1.0000000000000004</v>
      </c>
      <c r="F8" s="3"/>
      <c r="G8" s="3"/>
      <c r="H8" s="3"/>
    </row>
    <row r="9" spans="1:8" x14ac:dyDescent="0.3">
      <c r="A9" s="7" t="s">
        <v>14</v>
      </c>
      <c r="B9" s="10" t="s">
        <v>86</v>
      </c>
      <c r="C9" s="3"/>
      <c r="D9" s="3"/>
      <c r="E9" s="4"/>
      <c r="F9" s="3"/>
      <c r="G9" s="3"/>
      <c r="H9" s="3"/>
    </row>
    <row r="10" spans="1:8" ht="9.6" customHeight="1" x14ac:dyDescent="0.3">
      <c r="A10" s="3"/>
      <c r="B10" s="3"/>
      <c r="C10" s="3"/>
      <c r="D10" s="3"/>
      <c r="E10" s="4"/>
      <c r="F10" s="3"/>
      <c r="G10" s="3"/>
      <c r="H10" s="3"/>
    </row>
    <row r="11" spans="1:8" s="1" customFormat="1" ht="27.6" customHeight="1" x14ac:dyDescent="0.3">
      <c r="A11" s="7" t="s">
        <v>16</v>
      </c>
      <c r="B11" s="7" t="s">
        <v>17</v>
      </c>
      <c r="C11" s="7" t="s">
        <v>18</v>
      </c>
      <c r="D11" s="7" t="s">
        <v>19</v>
      </c>
      <c r="E11" s="8" t="s">
        <v>20</v>
      </c>
      <c r="F11" s="7" t="s">
        <v>21</v>
      </c>
      <c r="G11" s="7" t="s">
        <v>22</v>
      </c>
      <c r="H11" s="7" t="s">
        <v>23</v>
      </c>
    </row>
    <row r="12" spans="1:8" ht="27.6" customHeight="1" x14ac:dyDescent="0.3">
      <c r="A12" s="51">
        <v>1</v>
      </c>
      <c r="B12" s="52" t="s">
        <v>175</v>
      </c>
      <c r="C12" s="53" t="s">
        <v>176</v>
      </c>
      <c r="D12" s="54" t="s">
        <v>177</v>
      </c>
      <c r="E12" s="55">
        <v>0.01</v>
      </c>
      <c r="F12" s="52" t="s">
        <v>27</v>
      </c>
      <c r="G12" s="52" t="s">
        <v>178</v>
      </c>
      <c r="H12" s="52" t="s">
        <v>179</v>
      </c>
    </row>
    <row r="13" spans="1:8" ht="27.6" customHeight="1" x14ac:dyDescent="0.3">
      <c r="A13" s="56">
        <v>2</v>
      </c>
      <c r="B13" s="57" t="s">
        <v>912</v>
      </c>
      <c r="C13" s="58" t="s">
        <v>180</v>
      </c>
      <c r="D13" s="57" t="s">
        <v>177</v>
      </c>
      <c r="E13" s="55">
        <v>0.01</v>
      </c>
      <c r="F13" s="57" t="s">
        <v>27</v>
      </c>
      <c r="G13" s="57" t="s">
        <v>178</v>
      </c>
      <c r="H13" s="57" t="s">
        <v>179</v>
      </c>
    </row>
    <row r="14" spans="1:8" ht="27.6" customHeight="1" x14ac:dyDescent="0.3">
      <c r="A14" s="56">
        <v>3</v>
      </c>
      <c r="B14" s="57" t="s">
        <v>181</v>
      </c>
      <c r="C14" s="58" t="s">
        <v>182</v>
      </c>
      <c r="D14" s="57" t="s">
        <v>177</v>
      </c>
      <c r="E14" s="55">
        <v>0.01</v>
      </c>
      <c r="F14" s="57" t="s">
        <v>27</v>
      </c>
      <c r="G14" s="57" t="s">
        <v>178</v>
      </c>
      <c r="H14" s="57" t="s">
        <v>179</v>
      </c>
    </row>
    <row r="15" spans="1:8" ht="27.6" customHeight="1" x14ac:dyDescent="0.3">
      <c r="A15" s="56">
        <v>4</v>
      </c>
      <c r="B15" s="57" t="s">
        <v>914</v>
      </c>
      <c r="C15" s="58" t="s">
        <v>183</v>
      </c>
      <c r="D15" s="57" t="s">
        <v>184</v>
      </c>
      <c r="E15" s="59">
        <v>0.01</v>
      </c>
      <c r="F15" s="57" t="s">
        <v>27</v>
      </c>
      <c r="G15" s="57" t="s">
        <v>185</v>
      </c>
      <c r="H15" s="57" t="s">
        <v>179</v>
      </c>
    </row>
    <row r="16" spans="1:8" ht="27.6" customHeight="1" x14ac:dyDescent="0.3">
      <c r="A16" s="56">
        <v>5</v>
      </c>
      <c r="B16" s="57" t="s">
        <v>186</v>
      </c>
      <c r="C16" s="58" t="s">
        <v>187</v>
      </c>
      <c r="D16" s="57" t="s">
        <v>177</v>
      </c>
      <c r="E16" s="59">
        <v>0.01</v>
      </c>
      <c r="F16" s="57" t="s">
        <v>27</v>
      </c>
      <c r="G16" s="57" t="s">
        <v>185</v>
      </c>
      <c r="H16" s="57" t="s">
        <v>179</v>
      </c>
    </row>
    <row r="17" spans="1:8" ht="27.6" customHeight="1" x14ac:dyDescent="0.3">
      <c r="A17" s="56">
        <v>6</v>
      </c>
      <c r="B17" s="57" t="s">
        <v>188</v>
      </c>
      <c r="C17" s="58" t="s">
        <v>189</v>
      </c>
      <c r="D17" s="57" t="s">
        <v>190</v>
      </c>
      <c r="E17" s="59">
        <v>0.04</v>
      </c>
      <c r="F17" s="57" t="s">
        <v>27</v>
      </c>
      <c r="G17" s="57" t="s">
        <v>191</v>
      </c>
      <c r="H17" s="57" t="s">
        <v>179</v>
      </c>
    </row>
    <row r="18" spans="1:8" ht="27.6" customHeight="1" x14ac:dyDescent="0.3">
      <c r="A18" s="56">
        <v>7</v>
      </c>
      <c r="B18" s="57" t="s">
        <v>192</v>
      </c>
      <c r="C18" s="58" t="s">
        <v>193</v>
      </c>
      <c r="D18" s="57" t="s">
        <v>177</v>
      </c>
      <c r="E18" s="59">
        <v>0.02</v>
      </c>
      <c r="F18" s="57" t="s">
        <v>27</v>
      </c>
      <c r="G18" s="57" t="s">
        <v>178</v>
      </c>
      <c r="H18" s="57" t="s">
        <v>179</v>
      </c>
    </row>
    <row r="19" spans="1:8" ht="27.6" customHeight="1" x14ac:dyDescent="0.3">
      <c r="A19" s="56">
        <v>8</v>
      </c>
      <c r="B19" s="57" t="s">
        <v>194</v>
      </c>
      <c r="C19" s="58" t="s">
        <v>195</v>
      </c>
      <c r="D19" s="57" t="s">
        <v>177</v>
      </c>
      <c r="E19" s="59">
        <v>0.02</v>
      </c>
      <c r="F19" s="57" t="s">
        <v>27</v>
      </c>
      <c r="G19" s="57" t="s">
        <v>185</v>
      </c>
      <c r="H19" s="57" t="s">
        <v>179</v>
      </c>
    </row>
    <row r="20" spans="1:8" ht="27.6" customHeight="1" x14ac:dyDescent="0.3">
      <c r="A20" s="56">
        <v>9</v>
      </c>
      <c r="B20" s="57" t="s">
        <v>196</v>
      </c>
      <c r="C20" s="58" t="s">
        <v>197</v>
      </c>
      <c r="D20" s="57" t="s">
        <v>198</v>
      </c>
      <c r="E20" s="59">
        <v>0.01</v>
      </c>
      <c r="F20" s="57" t="s">
        <v>27</v>
      </c>
      <c r="G20" s="57" t="s">
        <v>185</v>
      </c>
      <c r="H20" s="57" t="s">
        <v>179</v>
      </c>
    </row>
    <row r="21" spans="1:8" ht="27.6" customHeight="1" x14ac:dyDescent="0.3">
      <c r="A21" s="56">
        <v>10</v>
      </c>
      <c r="B21" s="57" t="s">
        <v>199</v>
      </c>
      <c r="C21" s="58" t="s">
        <v>200</v>
      </c>
      <c r="D21" s="57" t="s">
        <v>198</v>
      </c>
      <c r="E21" s="59">
        <v>0.01</v>
      </c>
      <c r="F21" s="57" t="s">
        <v>27</v>
      </c>
      <c r="G21" s="57" t="s">
        <v>185</v>
      </c>
      <c r="H21" s="57" t="s">
        <v>179</v>
      </c>
    </row>
    <row r="22" spans="1:8" ht="27.6" customHeight="1" x14ac:dyDescent="0.3">
      <c r="A22" s="56">
        <v>11</v>
      </c>
      <c r="B22" s="57" t="s">
        <v>201</v>
      </c>
      <c r="C22" s="58" t="s">
        <v>202</v>
      </c>
      <c r="D22" s="57" t="s">
        <v>177</v>
      </c>
      <c r="E22" s="59">
        <v>0.01</v>
      </c>
      <c r="F22" s="57" t="s">
        <v>27</v>
      </c>
      <c r="G22" s="57" t="s">
        <v>185</v>
      </c>
      <c r="H22" s="57" t="s">
        <v>179</v>
      </c>
    </row>
    <row r="23" spans="1:8" ht="27.6" customHeight="1" x14ac:dyDescent="0.3">
      <c r="A23" s="56">
        <v>12</v>
      </c>
      <c r="B23" s="57" t="s">
        <v>203</v>
      </c>
      <c r="C23" s="58" t="s">
        <v>204</v>
      </c>
      <c r="D23" s="57" t="s">
        <v>177</v>
      </c>
      <c r="E23" s="59">
        <v>0.03</v>
      </c>
      <c r="F23" s="57" t="s">
        <v>27</v>
      </c>
      <c r="G23" s="57" t="s">
        <v>178</v>
      </c>
      <c r="H23" s="57" t="s">
        <v>179</v>
      </c>
    </row>
    <row r="24" spans="1:8" ht="27.6" customHeight="1" x14ac:dyDescent="0.3">
      <c r="A24" s="56">
        <v>13</v>
      </c>
      <c r="B24" s="57" t="s">
        <v>205</v>
      </c>
      <c r="C24" s="58" t="s">
        <v>206</v>
      </c>
      <c r="D24" s="54" t="s">
        <v>177</v>
      </c>
      <c r="E24" s="59">
        <v>0.01</v>
      </c>
      <c r="F24" s="57" t="s">
        <v>27</v>
      </c>
      <c r="G24" s="57" t="s">
        <v>185</v>
      </c>
      <c r="H24" s="57" t="s">
        <v>179</v>
      </c>
    </row>
    <row r="25" spans="1:8" ht="27.6" customHeight="1" x14ac:dyDescent="0.3">
      <c r="A25" s="56">
        <v>14</v>
      </c>
      <c r="B25" s="57" t="s">
        <v>207</v>
      </c>
      <c r="C25" s="58" t="s">
        <v>208</v>
      </c>
      <c r="D25" s="54" t="s">
        <v>177</v>
      </c>
      <c r="E25" s="59">
        <v>0.01</v>
      </c>
      <c r="F25" s="57" t="s">
        <v>27</v>
      </c>
      <c r="G25" s="57" t="s">
        <v>185</v>
      </c>
      <c r="H25" s="57" t="s">
        <v>179</v>
      </c>
    </row>
    <row r="26" spans="1:8" ht="27.6" customHeight="1" x14ac:dyDescent="0.3">
      <c r="A26" s="56">
        <v>15</v>
      </c>
      <c r="B26" s="57" t="s">
        <v>209</v>
      </c>
      <c r="C26" s="58" t="s">
        <v>210</v>
      </c>
      <c r="D26" s="57" t="s">
        <v>177</v>
      </c>
      <c r="E26" s="59">
        <v>0.01</v>
      </c>
      <c r="F26" s="57" t="s">
        <v>27</v>
      </c>
      <c r="G26" s="57" t="s">
        <v>185</v>
      </c>
      <c r="H26" s="57" t="s">
        <v>179</v>
      </c>
    </row>
    <row r="27" spans="1:8" ht="27.6" customHeight="1" x14ac:dyDescent="0.3">
      <c r="A27" s="56">
        <v>16</v>
      </c>
      <c r="B27" s="57" t="s">
        <v>917</v>
      </c>
      <c r="C27" s="58" t="s">
        <v>211</v>
      </c>
      <c r="D27" s="57" t="s">
        <v>177</v>
      </c>
      <c r="E27" s="59">
        <v>0.01</v>
      </c>
      <c r="F27" s="57" t="s">
        <v>27</v>
      </c>
      <c r="G27" s="57" t="s">
        <v>178</v>
      </c>
      <c r="H27" s="57" t="s">
        <v>179</v>
      </c>
    </row>
    <row r="28" spans="1:8" ht="27.6" customHeight="1" x14ac:dyDescent="0.3">
      <c r="A28" s="56">
        <v>17</v>
      </c>
      <c r="B28" s="57" t="s">
        <v>918</v>
      </c>
      <c r="C28" s="58" t="s">
        <v>212</v>
      </c>
      <c r="D28" s="57" t="s">
        <v>177</v>
      </c>
      <c r="E28" s="59">
        <v>0.04</v>
      </c>
      <c r="F28" s="57" t="s">
        <v>27</v>
      </c>
      <c r="G28" s="57" t="s">
        <v>178</v>
      </c>
      <c r="H28" s="57" t="s">
        <v>179</v>
      </c>
    </row>
    <row r="29" spans="1:8" ht="27.6" customHeight="1" x14ac:dyDescent="0.3">
      <c r="A29" s="56">
        <v>18</v>
      </c>
      <c r="B29" s="57" t="s">
        <v>919</v>
      </c>
      <c r="C29" s="58" t="s">
        <v>213</v>
      </c>
      <c r="D29" s="57" t="s">
        <v>177</v>
      </c>
      <c r="E29" s="59">
        <v>0.02</v>
      </c>
      <c r="F29" s="57" t="s">
        <v>27</v>
      </c>
      <c r="G29" s="57" t="s">
        <v>185</v>
      </c>
      <c r="H29" s="57" t="s">
        <v>179</v>
      </c>
    </row>
    <row r="30" spans="1:8" ht="27.6" customHeight="1" x14ac:dyDescent="0.3">
      <c r="A30" s="56">
        <v>19</v>
      </c>
      <c r="B30" s="57" t="s">
        <v>214</v>
      </c>
      <c r="C30" s="58" t="s">
        <v>215</v>
      </c>
      <c r="D30" s="57" t="s">
        <v>177</v>
      </c>
      <c r="E30" s="59">
        <v>0.04</v>
      </c>
      <c r="F30" s="57" t="s">
        <v>27</v>
      </c>
      <c r="G30" s="57" t="s">
        <v>178</v>
      </c>
      <c r="H30" s="57" t="s">
        <v>179</v>
      </c>
    </row>
    <row r="31" spans="1:8" ht="27.6" customHeight="1" x14ac:dyDescent="0.3">
      <c r="A31" s="56">
        <v>20</v>
      </c>
      <c r="B31" s="57" t="s">
        <v>216</v>
      </c>
      <c r="C31" s="58" t="s">
        <v>217</v>
      </c>
      <c r="D31" s="57" t="s">
        <v>198</v>
      </c>
      <c r="E31" s="59">
        <v>0.04</v>
      </c>
      <c r="F31" s="57" t="s">
        <v>27</v>
      </c>
      <c r="G31" s="57" t="s">
        <v>178</v>
      </c>
      <c r="H31" s="57" t="s">
        <v>179</v>
      </c>
    </row>
    <row r="32" spans="1:8" ht="27.6" customHeight="1" x14ac:dyDescent="0.3">
      <c r="A32" s="56">
        <v>21</v>
      </c>
      <c r="B32" s="57" t="s">
        <v>218</v>
      </c>
      <c r="C32" s="58" t="s">
        <v>219</v>
      </c>
      <c r="D32" s="57" t="s">
        <v>177</v>
      </c>
      <c r="E32" s="59">
        <v>0.01</v>
      </c>
      <c r="F32" s="57" t="s">
        <v>27</v>
      </c>
      <c r="G32" s="57" t="s">
        <v>220</v>
      </c>
      <c r="H32" s="57" t="s">
        <v>179</v>
      </c>
    </row>
    <row r="33" spans="1:8" ht="27.6" customHeight="1" x14ac:dyDescent="0.3">
      <c r="A33" s="56">
        <v>22</v>
      </c>
      <c r="B33" s="57" t="s">
        <v>221</v>
      </c>
      <c r="C33" s="58" t="s">
        <v>222</v>
      </c>
      <c r="D33" s="57" t="s">
        <v>177</v>
      </c>
      <c r="E33" s="59">
        <v>0.08</v>
      </c>
      <c r="F33" s="57" t="s">
        <v>27</v>
      </c>
      <c r="G33" s="57" t="s">
        <v>178</v>
      </c>
      <c r="H33" s="57" t="s">
        <v>179</v>
      </c>
    </row>
    <row r="34" spans="1:8" ht="27.6" customHeight="1" x14ac:dyDescent="0.3">
      <c r="A34" s="56">
        <v>23</v>
      </c>
      <c r="B34" s="57" t="s">
        <v>223</v>
      </c>
      <c r="C34" s="58" t="s">
        <v>224</v>
      </c>
      <c r="D34" s="57" t="s">
        <v>198</v>
      </c>
      <c r="E34" s="59">
        <v>0.01</v>
      </c>
      <c r="F34" s="57" t="s">
        <v>27</v>
      </c>
      <c r="G34" s="57" t="s">
        <v>178</v>
      </c>
      <c r="H34" s="57" t="s">
        <v>179</v>
      </c>
    </row>
    <row r="35" spans="1:8" ht="27.6" customHeight="1" x14ac:dyDescent="0.3">
      <c r="A35" s="56">
        <v>24</v>
      </c>
      <c r="B35" s="57" t="s">
        <v>225</v>
      </c>
      <c r="C35" s="58" t="s">
        <v>226</v>
      </c>
      <c r="D35" s="57" t="s">
        <v>198</v>
      </c>
      <c r="E35" s="59">
        <v>0.05</v>
      </c>
      <c r="F35" s="57" t="s">
        <v>27</v>
      </c>
      <c r="G35" s="57" t="s">
        <v>178</v>
      </c>
      <c r="H35" s="57" t="s">
        <v>179</v>
      </c>
    </row>
    <row r="36" spans="1:8" ht="27.6" customHeight="1" x14ac:dyDescent="0.3">
      <c r="A36" s="56">
        <v>25</v>
      </c>
      <c r="B36" s="57" t="s">
        <v>227</v>
      </c>
      <c r="C36" s="58" t="s">
        <v>228</v>
      </c>
      <c r="D36" s="57" t="s">
        <v>198</v>
      </c>
      <c r="E36" s="59">
        <v>0.04</v>
      </c>
      <c r="F36" s="57" t="s">
        <v>27</v>
      </c>
      <c r="G36" s="57" t="s">
        <v>191</v>
      </c>
      <c r="H36" s="57" t="s">
        <v>179</v>
      </c>
    </row>
    <row r="37" spans="1:8" ht="27.6" customHeight="1" x14ac:dyDescent="0.3">
      <c r="A37" s="56">
        <v>26</v>
      </c>
      <c r="B37" s="57" t="s">
        <v>229</v>
      </c>
      <c r="C37" s="58" t="s">
        <v>230</v>
      </c>
      <c r="D37" s="57" t="s">
        <v>198</v>
      </c>
      <c r="E37" s="59">
        <v>0.03</v>
      </c>
      <c r="F37" s="57" t="s">
        <v>27</v>
      </c>
      <c r="G37" s="57" t="s">
        <v>231</v>
      </c>
      <c r="H37" s="57" t="s">
        <v>179</v>
      </c>
    </row>
    <row r="38" spans="1:8" ht="27.6" customHeight="1" x14ac:dyDescent="0.3">
      <c r="A38" s="56">
        <v>27</v>
      </c>
      <c r="B38" s="57" t="s">
        <v>916</v>
      </c>
      <c r="C38" s="58" t="s">
        <v>232</v>
      </c>
      <c r="D38" s="57" t="s">
        <v>177</v>
      </c>
      <c r="E38" s="59">
        <v>0.03</v>
      </c>
      <c r="F38" s="57" t="s">
        <v>27</v>
      </c>
      <c r="G38" s="57" t="s">
        <v>178</v>
      </c>
      <c r="H38" s="57" t="s">
        <v>179</v>
      </c>
    </row>
    <row r="39" spans="1:8" ht="27.6" customHeight="1" x14ac:dyDescent="0.3">
      <c r="A39" s="56">
        <v>28</v>
      </c>
      <c r="B39" s="57" t="s">
        <v>233</v>
      </c>
      <c r="C39" s="58" t="s">
        <v>234</v>
      </c>
      <c r="D39" s="57" t="s">
        <v>177</v>
      </c>
      <c r="E39" s="59">
        <v>0.03</v>
      </c>
      <c r="F39" s="57" t="s">
        <v>27</v>
      </c>
      <c r="G39" s="57" t="s">
        <v>178</v>
      </c>
      <c r="H39" s="57" t="s">
        <v>179</v>
      </c>
    </row>
    <row r="40" spans="1:8" ht="27.6" customHeight="1" x14ac:dyDescent="0.3">
      <c r="A40" s="56">
        <v>29</v>
      </c>
      <c r="B40" s="57" t="s">
        <v>235</v>
      </c>
      <c r="C40" s="58" t="s">
        <v>236</v>
      </c>
      <c r="D40" s="57" t="s">
        <v>177</v>
      </c>
      <c r="E40" s="59">
        <v>0.03</v>
      </c>
      <c r="F40" s="57" t="s">
        <v>27</v>
      </c>
      <c r="G40" s="57" t="s">
        <v>178</v>
      </c>
      <c r="H40" s="57" t="s">
        <v>179</v>
      </c>
    </row>
    <row r="41" spans="1:8" ht="27.6" customHeight="1" x14ac:dyDescent="0.3">
      <c r="A41" s="56">
        <v>30</v>
      </c>
      <c r="B41" s="57" t="s">
        <v>237</v>
      </c>
      <c r="C41" s="58" t="s">
        <v>238</v>
      </c>
      <c r="D41" s="57" t="s">
        <v>177</v>
      </c>
      <c r="E41" s="59">
        <v>0.02</v>
      </c>
      <c r="F41" s="57" t="s">
        <v>27</v>
      </c>
      <c r="G41" s="57" t="s">
        <v>191</v>
      </c>
      <c r="H41" s="57" t="s">
        <v>179</v>
      </c>
    </row>
    <row r="42" spans="1:8" ht="27.6" customHeight="1" x14ac:dyDescent="0.3">
      <c r="A42" s="56">
        <v>31</v>
      </c>
      <c r="B42" s="57" t="s">
        <v>913</v>
      </c>
      <c r="C42" s="58" t="s">
        <v>239</v>
      </c>
      <c r="D42" s="57" t="s">
        <v>177</v>
      </c>
      <c r="E42" s="59">
        <v>0.03</v>
      </c>
      <c r="F42" s="57" t="s">
        <v>27</v>
      </c>
      <c r="G42" s="57" t="s">
        <v>178</v>
      </c>
      <c r="H42" s="57" t="s">
        <v>179</v>
      </c>
    </row>
    <row r="43" spans="1:8" ht="27.6" customHeight="1" x14ac:dyDescent="0.3">
      <c r="A43" s="56">
        <v>32</v>
      </c>
      <c r="B43" s="57" t="s">
        <v>240</v>
      </c>
      <c r="C43" s="58" t="s">
        <v>241</v>
      </c>
      <c r="D43" s="57" t="s">
        <v>177</v>
      </c>
      <c r="E43" s="59">
        <v>0.03</v>
      </c>
      <c r="F43" s="57" t="s">
        <v>27</v>
      </c>
      <c r="G43" s="57" t="s">
        <v>178</v>
      </c>
      <c r="H43" s="57" t="s">
        <v>179</v>
      </c>
    </row>
    <row r="44" spans="1:8" ht="27.6" customHeight="1" x14ac:dyDescent="0.3">
      <c r="A44" s="56">
        <v>33</v>
      </c>
      <c r="B44" s="57" t="s">
        <v>911</v>
      </c>
      <c r="C44" s="58" t="s">
        <v>242</v>
      </c>
      <c r="D44" s="57" t="s">
        <v>177</v>
      </c>
      <c r="E44" s="59">
        <v>0.01</v>
      </c>
      <c r="F44" s="57" t="s">
        <v>27</v>
      </c>
      <c r="G44" s="57" t="s">
        <v>185</v>
      </c>
      <c r="H44" s="57" t="s">
        <v>179</v>
      </c>
    </row>
    <row r="45" spans="1:8" ht="27.6" customHeight="1" x14ac:dyDescent="0.3">
      <c r="A45" s="56">
        <v>34</v>
      </c>
      <c r="B45" s="57" t="s">
        <v>243</v>
      </c>
      <c r="C45" s="58" t="s">
        <v>244</v>
      </c>
      <c r="D45" s="57" t="s">
        <v>177</v>
      </c>
      <c r="E45" s="59">
        <v>0.01</v>
      </c>
      <c r="F45" s="57" t="s">
        <v>27</v>
      </c>
      <c r="G45" s="57" t="s">
        <v>178</v>
      </c>
      <c r="H45" s="57" t="s">
        <v>179</v>
      </c>
    </row>
    <row r="46" spans="1:8" ht="27.6" customHeight="1" x14ac:dyDescent="0.3">
      <c r="A46" s="56">
        <v>35</v>
      </c>
      <c r="B46" s="57" t="s">
        <v>245</v>
      </c>
      <c r="C46" s="58" t="s">
        <v>246</v>
      </c>
      <c r="D46" s="57" t="s">
        <v>177</v>
      </c>
      <c r="E46" s="59">
        <v>0.01</v>
      </c>
      <c r="F46" s="57" t="s">
        <v>27</v>
      </c>
      <c r="G46" s="57" t="s">
        <v>191</v>
      </c>
      <c r="H46" s="57" t="s">
        <v>179</v>
      </c>
    </row>
    <row r="47" spans="1:8" ht="27.6" customHeight="1" x14ac:dyDescent="0.3">
      <c r="A47" s="56">
        <v>36</v>
      </c>
      <c r="B47" s="57" t="s">
        <v>247</v>
      </c>
      <c r="C47" s="58" t="s">
        <v>248</v>
      </c>
      <c r="D47" s="57" t="s">
        <v>177</v>
      </c>
      <c r="E47" s="59">
        <v>0.01</v>
      </c>
      <c r="F47" s="57" t="s">
        <v>27</v>
      </c>
      <c r="G47" s="57" t="s">
        <v>178</v>
      </c>
      <c r="H47" s="57" t="s">
        <v>179</v>
      </c>
    </row>
    <row r="48" spans="1:8" ht="27.6" customHeight="1" x14ac:dyDescent="0.3">
      <c r="A48" s="56">
        <v>37</v>
      </c>
      <c r="B48" s="57" t="s">
        <v>915</v>
      </c>
      <c r="C48" s="58" t="s">
        <v>249</v>
      </c>
      <c r="D48" s="57" t="s">
        <v>177</v>
      </c>
      <c r="E48" s="59">
        <v>0.01</v>
      </c>
      <c r="F48" s="57" t="s">
        <v>27</v>
      </c>
      <c r="G48" s="57" t="s">
        <v>178</v>
      </c>
      <c r="H48" s="57" t="s">
        <v>179</v>
      </c>
    </row>
    <row r="49" spans="1:8" ht="27.6" customHeight="1" x14ac:dyDescent="0.3">
      <c r="A49" s="56">
        <v>38</v>
      </c>
      <c r="B49" s="57" t="s">
        <v>250</v>
      </c>
      <c r="C49" s="58" t="s">
        <v>251</v>
      </c>
      <c r="D49" s="57" t="s">
        <v>252</v>
      </c>
      <c r="E49" s="59">
        <v>0.01</v>
      </c>
      <c r="F49" s="57" t="s">
        <v>27</v>
      </c>
      <c r="G49" s="57" t="s">
        <v>220</v>
      </c>
      <c r="H49" s="57" t="s">
        <v>179</v>
      </c>
    </row>
    <row r="50" spans="1:8" ht="27.6" customHeight="1" x14ac:dyDescent="0.3">
      <c r="A50" s="56">
        <v>39</v>
      </c>
      <c r="B50" s="57" t="s">
        <v>253</v>
      </c>
      <c r="C50" s="58" t="s">
        <v>254</v>
      </c>
      <c r="D50" s="57" t="s">
        <v>177</v>
      </c>
      <c r="E50" s="59">
        <v>0.01</v>
      </c>
      <c r="F50" s="57" t="s">
        <v>27</v>
      </c>
      <c r="G50" s="57" t="s">
        <v>178</v>
      </c>
      <c r="H50" s="57" t="s">
        <v>179</v>
      </c>
    </row>
    <row r="51" spans="1:8" ht="27.6" customHeight="1" x14ac:dyDescent="0.3">
      <c r="A51" s="56">
        <v>40</v>
      </c>
      <c r="B51" s="57" t="s">
        <v>255</v>
      </c>
      <c r="C51" s="58" t="s">
        <v>213</v>
      </c>
      <c r="D51" s="57" t="s">
        <v>177</v>
      </c>
      <c r="E51" s="59">
        <v>0.01</v>
      </c>
      <c r="F51" s="57" t="s">
        <v>27</v>
      </c>
      <c r="G51" s="57" t="s">
        <v>231</v>
      </c>
      <c r="H51" s="57" t="s">
        <v>179</v>
      </c>
    </row>
    <row r="52" spans="1:8" ht="27.6" customHeight="1" x14ac:dyDescent="0.3">
      <c r="A52" s="56">
        <v>41</v>
      </c>
      <c r="B52" s="57" t="s">
        <v>256</v>
      </c>
      <c r="C52" s="58" t="s">
        <v>257</v>
      </c>
      <c r="D52" s="57" t="s">
        <v>177</v>
      </c>
      <c r="E52" s="59">
        <v>0.02</v>
      </c>
      <c r="F52" s="57" t="s">
        <v>27</v>
      </c>
      <c r="G52" s="57" t="s">
        <v>178</v>
      </c>
      <c r="H52" s="57" t="s">
        <v>179</v>
      </c>
    </row>
    <row r="53" spans="1:8" ht="27.6" customHeight="1" x14ac:dyDescent="0.3">
      <c r="A53" s="56">
        <v>42</v>
      </c>
      <c r="B53" s="57" t="s">
        <v>258</v>
      </c>
      <c r="C53" s="58" t="s">
        <v>259</v>
      </c>
      <c r="D53" s="57" t="s">
        <v>177</v>
      </c>
      <c r="E53" s="59">
        <v>0.03</v>
      </c>
      <c r="F53" s="57" t="s">
        <v>27</v>
      </c>
      <c r="G53" s="57" t="s">
        <v>178</v>
      </c>
      <c r="H53" s="57" t="s">
        <v>179</v>
      </c>
    </row>
    <row r="54" spans="1:8" ht="27.6" customHeight="1" x14ac:dyDescent="0.3">
      <c r="A54" s="56">
        <v>43</v>
      </c>
      <c r="B54" s="57" t="s">
        <v>260</v>
      </c>
      <c r="C54" s="58" t="s">
        <v>261</v>
      </c>
      <c r="D54" s="57" t="s">
        <v>198</v>
      </c>
      <c r="E54" s="59">
        <v>0.03</v>
      </c>
      <c r="F54" s="57" t="s">
        <v>27</v>
      </c>
      <c r="G54" s="57" t="s">
        <v>178</v>
      </c>
      <c r="H54" s="57" t="s">
        <v>179</v>
      </c>
    </row>
    <row r="55" spans="1:8" ht="27.6" customHeight="1" x14ac:dyDescent="0.3">
      <c r="A55" s="56">
        <v>44</v>
      </c>
      <c r="B55" s="58" t="s">
        <v>262</v>
      </c>
      <c r="C55" s="58" t="s">
        <v>226</v>
      </c>
      <c r="D55" s="57" t="s">
        <v>198</v>
      </c>
      <c r="E55" s="59">
        <v>0.03</v>
      </c>
      <c r="F55" s="57" t="s">
        <v>27</v>
      </c>
      <c r="G55" s="57" t="s">
        <v>178</v>
      </c>
      <c r="H55" s="57" t="s">
        <v>179</v>
      </c>
    </row>
    <row r="56" spans="1:8" ht="27.6" customHeight="1" x14ac:dyDescent="0.3">
      <c r="A56" s="56">
        <v>45</v>
      </c>
      <c r="B56" s="57" t="s">
        <v>263</v>
      </c>
      <c r="C56" s="58" t="s">
        <v>264</v>
      </c>
      <c r="D56" s="57" t="s">
        <v>177</v>
      </c>
      <c r="E56" s="59">
        <v>0.01</v>
      </c>
      <c r="F56" s="57" t="s">
        <v>27</v>
      </c>
      <c r="G56" s="57" t="s">
        <v>191</v>
      </c>
      <c r="H56" s="57" t="s">
        <v>179</v>
      </c>
    </row>
    <row r="57" spans="1:8" ht="27.6" customHeight="1" x14ac:dyDescent="0.3">
      <c r="A57" s="56">
        <v>46</v>
      </c>
      <c r="B57" s="57" t="s">
        <v>265</v>
      </c>
      <c r="C57" s="58" t="s">
        <v>266</v>
      </c>
      <c r="D57" s="57" t="s">
        <v>177</v>
      </c>
      <c r="E57" s="59">
        <v>0.02</v>
      </c>
      <c r="F57" s="57" t="s">
        <v>27</v>
      </c>
      <c r="G57" s="57" t="s">
        <v>267</v>
      </c>
      <c r="H57" s="57" t="s">
        <v>179</v>
      </c>
    </row>
    <row r="58" spans="1:8" ht="27.6" customHeight="1" x14ac:dyDescent="0.3">
      <c r="A58" s="56">
        <v>47</v>
      </c>
      <c r="B58" s="57" t="s">
        <v>268</v>
      </c>
      <c r="C58" s="58" t="s">
        <v>269</v>
      </c>
      <c r="D58" s="57" t="s">
        <v>270</v>
      </c>
      <c r="E58" s="59">
        <v>0.01</v>
      </c>
      <c r="F58" s="57" t="s">
        <v>27</v>
      </c>
      <c r="G58" s="57" t="s">
        <v>271</v>
      </c>
      <c r="H58" s="57" t="s">
        <v>179</v>
      </c>
    </row>
    <row r="59" spans="1:8" ht="27.6" customHeight="1" x14ac:dyDescent="0.3">
      <c r="A59" s="56">
        <v>48</v>
      </c>
      <c r="B59" s="57" t="s">
        <v>272</v>
      </c>
      <c r="C59" s="58" t="s">
        <v>273</v>
      </c>
      <c r="D59" s="57" t="s">
        <v>184</v>
      </c>
      <c r="E59" s="59">
        <v>0.01</v>
      </c>
      <c r="F59" s="57" t="s">
        <v>27</v>
      </c>
      <c r="G59" s="57" t="s">
        <v>178</v>
      </c>
      <c r="H59" s="57" t="s">
        <v>179</v>
      </c>
    </row>
    <row r="64" spans="1:8" x14ac:dyDescent="0.3">
      <c r="B64" s="1" t="s">
        <v>81</v>
      </c>
      <c r="C64" s="1" t="s">
        <v>82</v>
      </c>
      <c r="D64" s="1" t="s">
        <v>83</v>
      </c>
      <c r="H64" s="1" t="s">
        <v>84</v>
      </c>
    </row>
  </sheetData>
  <mergeCells count="5">
    <mergeCell ref="A1:B3"/>
    <mergeCell ref="C1:G3"/>
    <mergeCell ref="A4:B4"/>
    <mergeCell ref="C4:G5"/>
    <mergeCell ref="A5:B5"/>
  </mergeCells>
  <pageMargins left="0.7" right="0.7" top="0.75" bottom="0.75" header="0.3" footer="0.3"/>
  <pageSetup paperSize="9" orientation="portrait" verticalDpi="0"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8D1FB-E2A0-4FBA-B2EF-DA473D002FFF}">
  <dimension ref="A1:H45"/>
  <sheetViews>
    <sheetView showGridLines="0" topLeftCell="A35" zoomScaleNormal="100" workbookViewId="0">
      <selection activeCell="B40" sqref="B40"/>
    </sheetView>
  </sheetViews>
  <sheetFormatPr baseColWidth="10" defaultColWidth="11.44140625" defaultRowHeight="14.4" x14ac:dyDescent="0.3"/>
  <cols>
    <col min="1" max="1" width="9.6640625" style="1" bestFit="1" customWidth="1"/>
    <col min="2" max="3" width="52.6640625" style="1" customWidth="1"/>
    <col min="4" max="4" width="17.109375" style="1" bestFit="1" customWidth="1"/>
    <col min="5" max="5" width="13.6640625" style="6" bestFit="1" customWidth="1"/>
    <col min="6" max="6" width="13.6640625" style="1" bestFit="1" customWidth="1"/>
    <col min="7" max="7" width="29.5546875" style="1" customWidth="1"/>
    <col min="8" max="8" width="44" style="1" customWidth="1"/>
  </cols>
  <sheetData>
    <row r="1" spans="1:8" ht="14.4" customHeight="1" x14ac:dyDescent="0.3">
      <c r="A1" s="95"/>
      <c r="B1" s="96"/>
      <c r="C1" s="101" t="s">
        <v>0</v>
      </c>
      <c r="D1" s="101"/>
      <c r="E1" s="101"/>
      <c r="F1" s="101"/>
      <c r="G1" s="101"/>
      <c r="H1" s="9" t="s">
        <v>1</v>
      </c>
    </row>
    <row r="2" spans="1:8" ht="14.4" customHeight="1" x14ac:dyDescent="0.3">
      <c r="A2" s="97"/>
      <c r="B2" s="98"/>
      <c r="C2" s="101"/>
      <c r="D2" s="101"/>
      <c r="E2" s="101"/>
      <c r="F2" s="101"/>
      <c r="G2" s="101"/>
      <c r="H2" s="9" t="s">
        <v>2</v>
      </c>
    </row>
    <row r="3" spans="1:8" ht="14.4" customHeight="1" x14ac:dyDescent="0.3">
      <c r="A3" s="99"/>
      <c r="B3" s="100"/>
      <c r="C3" s="101"/>
      <c r="D3" s="101"/>
      <c r="E3" s="101"/>
      <c r="F3" s="101"/>
      <c r="G3" s="101"/>
      <c r="H3" s="9" t="s">
        <v>3</v>
      </c>
    </row>
    <row r="4" spans="1:8" ht="14.4" customHeight="1" x14ac:dyDescent="0.3">
      <c r="A4" s="102" t="s">
        <v>4</v>
      </c>
      <c r="B4" s="102"/>
      <c r="C4" s="102" t="s">
        <v>5</v>
      </c>
      <c r="D4" s="102"/>
      <c r="E4" s="102"/>
      <c r="F4" s="102"/>
      <c r="G4" s="102"/>
      <c r="H4" s="9" t="s">
        <v>6</v>
      </c>
    </row>
    <row r="5" spans="1:8" ht="14.4" customHeight="1" x14ac:dyDescent="0.3">
      <c r="A5" s="102" t="s">
        <v>7</v>
      </c>
      <c r="B5" s="102"/>
      <c r="C5" s="102"/>
      <c r="D5" s="102"/>
      <c r="E5" s="102"/>
      <c r="F5" s="102"/>
      <c r="G5" s="102"/>
      <c r="H5" s="9" t="s">
        <v>8</v>
      </c>
    </row>
    <row r="7" spans="1:8" x14ac:dyDescent="0.3">
      <c r="A7" s="7" t="s">
        <v>9</v>
      </c>
      <c r="B7" s="10" t="s">
        <v>10</v>
      </c>
      <c r="C7" s="3"/>
      <c r="D7" s="3"/>
      <c r="E7" s="4"/>
      <c r="F7" s="3"/>
      <c r="G7" s="3"/>
      <c r="H7" s="3"/>
    </row>
    <row r="8" spans="1:8" x14ac:dyDescent="0.3">
      <c r="A8" s="7" t="s">
        <v>11</v>
      </c>
      <c r="B8" s="10" t="s">
        <v>274</v>
      </c>
      <c r="C8" s="3" t="s">
        <v>275</v>
      </c>
      <c r="D8" s="3"/>
      <c r="E8" s="4">
        <f>+SUM(E12:E40)</f>
        <v>1.0000000000000002</v>
      </c>
      <c r="F8" s="3"/>
      <c r="G8" s="3"/>
      <c r="H8" s="3"/>
    </row>
    <row r="9" spans="1:8" x14ac:dyDescent="0.3">
      <c r="A9" s="7" t="s">
        <v>14</v>
      </c>
      <c r="B9" s="10" t="s">
        <v>86</v>
      </c>
      <c r="C9" s="3"/>
      <c r="D9" s="3"/>
      <c r="E9" s="4"/>
      <c r="F9" s="3"/>
      <c r="G9" s="3"/>
      <c r="H9" s="3"/>
    </row>
    <row r="10" spans="1:8" ht="9.6" customHeight="1" x14ac:dyDescent="0.3">
      <c r="A10" s="3"/>
      <c r="B10" s="3"/>
      <c r="C10" s="3"/>
      <c r="D10" s="3"/>
      <c r="E10" s="4"/>
      <c r="F10" s="3"/>
      <c r="G10" s="3"/>
      <c r="H10" s="3"/>
    </row>
    <row r="11" spans="1:8" s="1" customFormat="1" ht="27.6" customHeight="1" x14ac:dyDescent="0.3">
      <c r="A11" s="7" t="s">
        <v>16</v>
      </c>
      <c r="B11" s="7" t="s">
        <v>17</v>
      </c>
      <c r="C11" s="7" t="s">
        <v>18</v>
      </c>
      <c r="D11" s="23" t="s">
        <v>19</v>
      </c>
      <c r="E11" s="8" t="s">
        <v>20</v>
      </c>
      <c r="F11" s="7" t="s">
        <v>21</v>
      </c>
      <c r="G11" s="7" t="s">
        <v>22</v>
      </c>
      <c r="H11" s="7" t="s">
        <v>23</v>
      </c>
    </row>
    <row r="12" spans="1:8" ht="84.75" customHeight="1" x14ac:dyDescent="0.3">
      <c r="A12" s="14">
        <v>1</v>
      </c>
      <c r="B12" s="13" t="s">
        <v>276</v>
      </c>
      <c r="C12" s="21" t="s">
        <v>277</v>
      </c>
      <c r="D12" s="20" t="s">
        <v>184</v>
      </c>
      <c r="E12" s="18">
        <v>0.2</v>
      </c>
      <c r="F12" s="13" t="s">
        <v>27</v>
      </c>
      <c r="G12" s="13" t="s">
        <v>278</v>
      </c>
      <c r="H12" s="13" t="s">
        <v>29</v>
      </c>
    </row>
    <row r="13" spans="1:8" ht="83.25" customHeight="1" x14ac:dyDescent="0.3">
      <c r="A13" s="14">
        <v>2</v>
      </c>
      <c r="B13" s="13" t="s">
        <v>279</v>
      </c>
      <c r="C13" s="21" t="s">
        <v>280</v>
      </c>
      <c r="D13" s="20" t="s">
        <v>281</v>
      </c>
      <c r="E13" s="18">
        <v>0.05</v>
      </c>
      <c r="F13" s="13" t="s">
        <v>27</v>
      </c>
      <c r="G13" s="13" t="s">
        <v>278</v>
      </c>
      <c r="H13" s="13" t="s">
        <v>29</v>
      </c>
    </row>
    <row r="14" spans="1:8" ht="91.5" customHeight="1" x14ac:dyDescent="0.3">
      <c r="A14" s="16">
        <v>3</v>
      </c>
      <c r="B14" s="15" t="s">
        <v>282</v>
      </c>
      <c r="C14" s="22" t="s">
        <v>283</v>
      </c>
      <c r="D14" s="20" t="s">
        <v>184</v>
      </c>
      <c r="E14" s="19">
        <v>0.03</v>
      </c>
      <c r="F14" s="15" t="s">
        <v>27</v>
      </c>
      <c r="G14" s="15" t="s">
        <v>278</v>
      </c>
      <c r="H14" s="15" t="s">
        <v>29</v>
      </c>
    </row>
    <row r="15" spans="1:8" ht="112.5" customHeight="1" x14ac:dyDescent="0.3">
      <c r="A15" s="16">
        <v>4</v>
      </c>
      <c r="B15" s="15" t="s">
        <v>284</v>
      </c>
      <c r="C15" s="22" t="s">
        <v>285</v>
      </c>
      <c r="D15" s="20" t="s">
        <v>184</v>
      </c>
      <c r="E15" s="19">
        <v>0.03</v>
      </c>
      <c r="F15" s="15" t="s">
        <v>27</v>
      </c>
      <c r="G15" s="15" t="s">
        <v>278</v>
      </c>
      <c r="H15" s="15" t="s">
        <v>29</v>
      </c>
    </row>
    <row r="16" spans="1:8" ht="72" x14ac:dyDescent="0.3">
      <c r="A16" s="16">
        <v>5</v>
      </c>
      <c r="B16" s="15" t="s">
        <v>286</v>
      </c>
      <c r="C16" s="22" t="s">
        <v>287</v>
      </c>
      <c r="D16" s="20" t="s">
        <v>288</v>
      </c>
      <c r="E16" s="19">
        <v>0.05</v>
      </c>
      <c r="F16" s="15" t="s">
        <v>27</v>
      </c>
      <c r="G16" s="15" t="s">
        <v>289</v>
      </c>
      <c r="H16" s="15" t="s">
        <v>29</v>
      </c>
    </row>
    <row r="17" spans="1:8" ht="115.2" x14ac:dyDescent="0.3">
      <c r="A17" s="16">
        <v>6</v>
      </c>
      <c r="B17" s="15" t="s">
        <v>290</v>
      </c>
      <c r="C17" s="22" t="s">
        <v>291</v>
      </c>
      <c r="D17" s="20" t="s">
        <v>292</v>
      </c>
      <c r="E17" s="19">
        <v>0.03</v>
      </c>
      <c r="F17" s="15" t="s">
        <v>27</v>
      </c>
      <c r="G17" s="15" t="s">
        <v>289</v>
      </c>
      <c r="H17" s="15" t="s">
        <v>29</v>
      </c>
    </row>
    <row r="18" spans="1:8" ht="72" x14ac:dyDescent="0.3">
      <c r="A18" s="16">
        <v>7</v>
      </c>
      <c r="B18" s="15" t="s">
        <v>293</v>
      </c>
      <c r="C18" s="22" t="s">
        <v>294</v>
      </c>
      <c r="D18" s="20" t="s">
        <v>288</v>
      </c>
      <c r="E18" s="19">
        <v>7.0000000000000007E-2</v>
      </c>
      <c r="F18" s="15" t="s">
        <v>27</v>
      </c>
      <c r="G18" s="15" t="s">
        <v>289</v>
      </c>
      <c r="H18" s="15" t="s">
        <v>29</v>
      </c>
    </row>
    <row r="19" spans="1:8" ht="72" x14ac:dyDescent="0.3">
      <c r="A19" s="16">
        <v>8</v>
      </c>
      <c r="B19" s="15" t="s">
        <v>295</v>
      </c>
      <c r="C19" s="22" t="s">
        <v>296</v>
      </c>
      <c r="D19" s="20" t="s">
        <v>288</v>
      </c>
      <c r="E19" s="19">
        <v>0.01</v>
      </c>
      <c r="F19" s="15" t="s">
        <v>27</v>
      </c>
      <c r="G19" s="15" t="s">
        <v>289</v>
      </c>
      <c r="H19" s="15" t="s">
        <v>29</v>
      </c>
    </row>
    <row r="20" spans="1:8" ht="43.2" x14ac:dyDescent="0.3">
      <c r="A20" s="16">
        <v>9</v>
      </c>
      <c r="B20" s="15" t="s">
        <v>297</v>
      </c>
      <c r="C20" s="22" t="s">
        <v>298</v>
      </c>
      <c r="D20" s="20" t="s">
        <v>288</v>
      </c>
      <c r="E20" s="19">
        <v>0.04</v>
      </c>
      <c r="F20" s="15" t="s">
        <v>27</v>
      </c>
      <c r="G20" s="15" t="s">
        <v>289</v>
      </c>
      <c r="H20" s="15" t="s">
        <v>29</v>
      </c>
    </row>
    <row r="21" spans="1:8" ht="72" x14ac:dyDescent="0.3">
      <c r="A21" s="16">
        <v>10</v>
      </c>
      <c r="B21" s="15" t="s">
        <v>299</v>
      </c>
      <c r="C21" s="22" t="s">
        <v>300</v>
      </c>
      <c r="D21" s="20" t="s">
        <v>288</v>
      </c>
      <c r="E21" s="19">
        <v>7.0000000000000007E-2</v>
      </c>
      <c r="F21" s="15" t="s">
        <v>27</v>
      </c>
      <c r="G21" s="15" t="s">
        <v>289</v>
      </c>
      <c r="H21" s="15" t="s">
        <v>29</v>
      </c>
    </row>
    <row r="22" spans="1:8" ht="28.8" x14ac:dyDescent="0.3">
      <c r="A22" s="16">
        <v>11</v>
      </c>
      <c r="B22" s="15" t="s">
        <v>301</v>
      </c>
      <c r="C22" s="22" t="s">
        <v>302</v>
      </c>
      <c r="D22" s="20" t="s">
        <v>288</v>
      </c>
      <c r="E22" s="19">
        <v>0.02</v>
      </c>
      <c r="F22" s="15" t="s">
        <v>27</v>
      </c>
      <c r="G22" s="15" t="s">
        <v>303</v>
      </c>
      <c r="H22" s="15" t="s">
        <v>29</v>
      </c>
    </row>
    <row r="23" spans="1:8" ht="72" x14ac:dyDescent="0.3">
      <c r="A23" s="16">
        <v>12</v>
      </c>
      <c r="B23" s="15" t="s">
        <v>304</v>
      </c>
      <c r="C23" s="22" t="s">
        <v>305</v>
      </c>
      <c r="D23" s="20" t="s">
        <v>288</v>
      </c>
      <c r="E23" s="19">
        <v>0.05</v>
      </c>
      <c r="F23" s="15" t="s">
        <v>27</v>
      </c>
      <c r="G23" s="15" t="s">
        <v>289</v>
      </c>
      <c r="H23" s="15" t="s">
        <v>29</v>
      </c>
    </row>
    <row r="24" spans="1:8" ht="43.2" x14ac:dyDescent="0.3">
      <c r="A24" s="16">
        <v>13</v>
      </c>
      <c r="B24" s="15" t="s">
        <v>306</v>
      </c>
      <c r="C24" s="22" t="s">
        <v>307</v>
      </c>
      <c r="D24" s="20" t="s">
        <v>308</v>
      </c>
      <c r="E24" s="19">
        <v>0.01</v>
      </c>
      <c r="F24" s="15" t="s">
        <v>27</v>
      </c>
      <c r="G24" s="15" t="s">
        <v>303</v>
      </c>
      <c r="H24" s="15" t="s">
        <v>29</v>
      </c>
    </row>
    <row r="25" spans="1:8" ht="43.2" x14ac:dyDescent="0.3">
      <c r="A25" s="16">
        <v>14</v>
      </c>
      <c r="B25" s="15" t="s">
        <v>309</v>
      </c>
      <c r="C25" s="22" t="s">
        <v>310</v>
      </c>
      <c r="D25" s="20" t="s">
        <v>292</v>
      </c>
      <c r="E25" s="19">
        <v>0.03</v>
      </c>
      <c r="F25" s="15" t="s">
        <v>27</v>
      </c>
      <c r="G25" s="15" t="s">
        <v>311</v>
      </c>
      <c r="H25" s="15" t="s">
        <v>29</v>
      </c>
    </row>
    <row r="26" spans="1:8" ht="72" x14ac:dyDescent="0.3">
      <c r="A26" s="16">
        <v>15</v>
      </c>
      <c r="B26" s="15" t="s">
        <v>312</v>
      </c>
      <c r="C26" s="22" t="s">
        <v>313</v>
      </c>
      <c r="D26" s="20" t="s">
        <v>292</v>
      </c>
      <c r="E26" s="19">
        <v>0.02</v>
      </c>
      <c r="F26" s="15" t="s">
        <v>27</v>
      </c>
      <c r="G26" s="15" t="s">
        <v>303</v>
      </c>
      <c r="H26" s="15" t="s">
        <v>29</v>
      </c>
    </row>
    <row r="27" spans="1:8" ht="100.8" x14ac:dyDescent="0.3">
      <c r="A27" s="16">
        <v>16</v>
      </c>
      <c r="B27" s="15" t="s">
        <v>314</v>
      </c>
      <c r="C27" s="22" t="s">
        <v>315</v>
      </c>
      <c r="D27" s="20" t="s">
        <v>281</v>
      </c>
      <c r="E27" s="19">
        <v>0.03</v>
      </c>
      <c r="F27" s="15" t="s">
        <v>27</v>
      </c>
      <c r="G27" s="15" t="s">
        <v>289</v>
      </c>
      <c r="H27" s="15" t="s">
        <v>29</v>
      </c>
    </row>
    <row r="28" spans="1:8" ht="57.6" x14ac:dyDescent="0.3">
      <c r="A28" s="16">
        <v>17</v>
      </c>
      <c r="B28" s="15" t="s">
        <v>316</v>
      </c>
      <c r="C28" s="22" t="s">
        <v>317</v>
      </c>
      <c r="D28" s="20" t="s">
        <v>288</v>
      </c>
      <c r="E28" s="19">
        <v>0.01</v>
      </c>
      <c r="F28" s="15" t="s">
        <v>27</v>
      </c>
      <c r="G28" s="15" t="s">
        <v>289</v>
      </c>
      <c r="H28" s="15" t="s">
        <v>29</v>
      </c>
    </row>
    <row r="29" spans="1:8" ht="86.4" x14ac:dyDescent="0.3">
      <c r="A29" s="16">
        <v>18</v>
      </c>
      <c r="B29" s="15" t="s">
        <v>318</v>
      </c>
      <c r="C29" s="22" t="s">
        <v>319</v>
      </c>
      <c r="D29" s="20" t="s">
        <v>288</v>
      </c>
      <c r="E29" s="19">
        <v>0.09</v>
      </c>
      <c r="F29" s="15" t="s">
        <v>27</v>
      </c>
      <c r="G29" s="15" t="s">
        <v>303</v>
      </c>
      <c r="H29" s="15" t="s">
        <v>29</v>
      </c>
    </row>
    <row r="30" spans="1:8" ht="43.2" x14ac:dyDescent="0.3">
      <c r="A30" s="16">
        <v>19</v>
      </c>
      <c r="B30" s="15" t="s">
        <v>320</v>
      </c>
      <c r="C30" s="22" t="s">
        <v>321</v>
      </c>
      <c r="D30" s="20" t="s">
        <v>292</v>
      </c>
      <c r="E30" s="19">
        <v>0.02</v>
      </c>
      <c r="F30" s="15" t="s">
        <v>27</v>
      </c>
      <c r="G30" s="15" t="s">
        <v>303</v>
      </c>
      <c r="H30" s="15" t="s">
        <v>29</v>
      </c>
    </row>
    <row r="31" spans="1:8" ht="96.75" customHeight="1" x14ac:dyDescent="0.3">
      <c r="A31" s="16">
        <v>20</v>
      </c>
      <c r="B31" s="15" t="s">
        <v>322</v>
      </c>
      <c r="C31" s="17" t="s">
        <v>323</v>
      </c>
      <c r="D31" s="20" t="s">
        <v>292</v>
      </c>
      <c r="E31" s="19">
        <v>0.01</v>
      </c>
      <c r="F31" s="15" t="s">
        <v>27</v>
      </c>
      <c r="G31" s="15" t="s">
        <v>289</v>
      </c>
      <c r="H31" s="15" t="s">
        <v>29</v>
      </c>
    </row>
    <row r="32" spans="1:8" ht="100.8" x14ac:dyDescent="0.3">
      <c r="A32" s="16">
        <v>21</v>
      </c>
      <c r="B32" s="15" t="s">
        <v>324</v>
      </c>
      <c r="C32" s="21" t="s">
        <v>325</v>
      </c>
      <c r="D32" s="20" t="s">
        <v>292</v>
      </c>
      <c r="E32" s="19">
        <v>0.01</v>
      </c>
      <c r="F32" s="15" t="s">
        <v>27</v>
      </c>
      <c r="G32" s="15" t="s">
        <v>303</v>
      </c>
      <c r="H32" s="15" t="s">
        <v>29</v>
      </c>
    </row>
    <row r="33" spans="1:8" ht="86.4" x14ac:dyDescent="0.3">
      <c r="A33" s="16">
        <v>22</v>
      </c>
      <c r="B33" s="15" t="s">
        <v>326</v>
      </c>
      <c r="C33" s="22" t="s">
        <v>327</v>
      </c>
      <c r="D33" s="20" t="s">
        <v>288</v>
      </c>
      <c r="E33" s="19">
        <v>0.02</v>
      </c>
      <c r="F33" s="15" t="s">
        <v>27</v>
      </c>
      <c r="G33" s="15" t="s">
        <v>289</v>
      </c>
      <c r="H33" s="15" t="s">
        <v>29</v>
      </c>
    </row>
    <row r="34" spans="1:8" ht="57.6" x14ac:dyDescent="0.3">
      <c r="A34" s="16">
        <v>23</v>
      </c>
      <c r="B34" s="15" t="s">
        <v>328</v>
      </c>
      <c r="C34" s="17" t="s">
        <v>329</v>
      </c>
      <c r="D34" s="20" t="s">
        <v>288</v>
      </c>
      <c r="E34" s="19">
        <v>0.01</v>
      </c>
      <c r="F34" s="15" t="s">
        <v>27</v>
      </c>
      <c r="G34" s="15" t="s">
        <v>289</v>
      </c>
      <c r="H34" s="15" t="s">
        <v>29</v>
      </c>
    </row>
    <row r="35" spans="1:8" ht="86.4" x14ac:dyDescent="0.3">
      <c r="A35" s="16">
        <v>24</v>
      </c>
      <c r="B35" s="15" t="s">
        <v>330</v>
      </c>
      <c r="C35" s="21" t="s">
        <v>331</v>
      </c>
      <c r="D35" s="20" t="s">
        <v>292</v>
      </c>
      <c r="E35" s="19">
        <v>0.01</v>
      </c>
      <c r="F35" s="15" t="s">
        <v>27</v>
      </c>
      <c r="G35" s="15" t="s">
        <v>332</v>
      </c>
      <c r="H35" s="15" t="s">
        <v>29</v>
      </c>
    </row>
    <row r="36" spans="1:8" ht="43.2" x14ac:dyDescent="0.3">
      <c r="A36" s="16">
        <v>25</v>
      </c>
      <c r="B36" s="15" t="s">
        <v>333</v>
      </c>
      <c r="C36" s="17" t="s">
        <v>334</v>
      </c>
      <c r="D36" s="20" t="s">
        <v>288</v>
      </c>
      <c r="E36" s="19">
        <v>0.02</v>
      </c>
      <c r="F36" s="15" t="s">
        <v>27</v>
      </c>
      <c r="G36" s="15" t="s">
        <v>289</v>
      </c>
      <c r="H36" s="15" t="s">
        <v>29</v>
      </c>
    </row>
    <row r="37" spans="1:8" ht="86.4" x14ac:dyDescent="0.3">
      <c r="A37" s="16">
        <v>26</v>
      </c>
      <c r="B37" s="15" t="s">
        <v>335</v>
      </c>
      <c r="C37" s="21" t="s">
        <v>336</v>
      </c>
      <c r="D37" s="20" t="s">
        <v>292</v>
      </c>
      <c r="E37" s="19">
        <v>0.01</v>
      </c>
      <c r="F37" s="15" t="s">
        <v>27</v>
      </c>
      <c r="G37" s="15" t="s">
        <v>303</v>
      </c>
      <c r="H37" s="15" t="s">
        <v>29</v>
      </c>
    </row>
    <row r="38" spans="1:8" ht="57.6" x14ac:dyDescent="0.3">
      <c r="A38" s="16">
        <v>27</v>
      </c>
      <c r="B38" s="15" t="s">
        <v>337</v>
      </c>
      <c r="C38" s="17" t="s">
        <v>338</v>
      </c>
      <c r="D38" s="20" t="s">
        <v>292</v>
      </c>
      <c r="E38" s="19">
        <v>0.02</v>
      </c>
      <c r="F38" s="15" t="s">
        <v>27</v>
      </c>
      <c r="G38" s="15" t="s">
        <v>303</v>
      </c>
      <c r="H38" s="15" t="s">
        <v>29</v>
      </c>
    </row>
    <row r="39" spans="1:8" ht="28.8" x14ac:dyDescent="0.3">
      <c r="A39" s="61">
        <v>28</v>
      </c>
      <c r="B39" s="62" t="s">
        <v>339</v>
      </c>
      <c r="C39" s="63" t="s">
        <v>340</v>
      </c>
      <c r="D39" s="64" t="s">
        <v>288</v>
      </c>
      <c r="E39" s="65">
        <v>0.01</v>
      </c>
      <c r="F39" s="62" t="s">
        <v>27</v>
      </c>
      <c r="G39" s="62" t="s">
        <v>289</v>
      </c>
      <c r="H39" s="15" t="s">
        <v>29</v>
      </c>
    </row>
    <row r="40" spans="1:8" ht="57.6" x14ac:dyDescent="0.3">
      <c r="A40" s="20">
        <v>29</v>
      </c>
      <c r="B40" s="20" t="s">
        <v>341</v>
      </c>
      <c r="C40" s="20" t="s">
        <v>342</v>
      </c>
      <c r="D40" s="20" t="s">
        <v>288</v>
      </c>
      <c r="E40" s="60">
        <v>0.02</v>
      </c>
      <c r="F40" s="20" t="s">
        <v>27</v>
      </c>
      <c r="G40" s="20" t="s">
        <v>343</v>
      </c>
      <c r="H40" s="15" t="s">
        <v>343</v>
      </c>
    </row>
    <row r="45" spans="1:8" x14ac:dyDescent="0.3">
      <c r="B45" s="1" t="s">
        <v>81</v>
      </c>
      <c r="C45" s="1" t="s">
        <v>82</v>
      </c>
      <c r="D45" s="1" t="s">
        <v>83</v>
      </c>
      <c r="H45" s="1" t="s">
        <v>84</v>
      </c>
    </row>
  </sheetData>
  <mergeCells count="5">
    <mergeCell ref="A1:B3"/>
    <mergeCell ref="C1:G3"/>
    <mergeCell ref="A4:B4"/>
    <mergeCell ref="C4:G5"/>
    <mergeCell ref="A5:B5"/>
  </mergeCells>
  <pageMargins left="0.7" right="0.7" top="0.75" bottom="0.75" header="0.3" footer="0.3"/>
  <pageSetup paperSize="9" orientation="portrait" verticalDpi="0"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FD3E3-A746-4230-B5F6-F52054329EFD}">
  <dimension ref="A1:H41"/>
  <sheetViews>
    <sheetView showGridLines="0" topLeftCell="B3" workbookViewId="0">
      <selection activeCell="E14" sqref="E14"/>
    </sheetView>
  </sheetViews>
  <sheetFormatPr baseColWidth="10" defaultColWidth="11.44140625" defaultRowHeight="14.4" x14ac:dyDescent="0.3"/>
  <cols>
    <col min="1" max="1" width="9.6640625" style="1" bestFit="1" customWidth="1"/>
    <col min="2" max="2" width="87" style="1" bestFit="1" customWidth="1"/>
    <col min="3" max="3" width="80.44140625" style="1" bestFit="1" customWidth="1"/>
    <col min="4" max="4" width="11.5546875" style="1" bestFit="1" customWidth="1"/>
    <col min="5" max="5" width="9.88671875" style="6" bestFit="1" customWidth="1"/>
    <col min="6" max="6" width="19.44140625" style="1" bestFit="1" customWidth="1"/>
    <col min="7" max="7" width="17.6640625" style="1" customWidth="1"/>
    <col min="8" max="8" width="44" style="1" customWidth="1"/>
  </cols>
  <sheetData>
    <row r="1" spans="1:8" ht="14.4" customHeight="1" x14ac:dyDescent="0.3">
      <c r="A1" s="95"/>
      <c r="B1" s="96"/>
      <c r="C1" s="101" t="s">
        <v>0</v>
      </c>
      <c r="D1" s="101"/>
      <c r="E1" s="101"/>
      <c r="F1" s="101"/>
      <c r="G1" s="101"/>
      <c r="H1" s="9" t="s">
        <v>1</v>
      </c>
    </row>
    <row r="2" spans="1:8" ht="14.4" customHeight="1" x14ac:dyDescent="0.3">
      <c r="A2" s="97"/>
      <c r="B2" s="98"/>
      <c r="C2" s="101"/>
      <c r="D2" s="101"/>
      <c r="E2" s="101"/>
      <c r="F2" s="101"/>
      <c r="G2" s="101"/>
      <c r="H2" s="9" t="s">
        <v>2</v>
      </c>
    </row>
    <row r="3" spans="1:8" ht="14.4" customHeight="1" x14ac:dyDescent="0.3">
      <c r="A3" s="99"/>
      <c r="B3" s="100"/>
      <c r="C3" s="101"/>
      <c r="D3" s="101"/>
      <c r="E3" s="101"/>
      <c r="F3" s="101"/>
      <c r="G3" s="101"/>
      <c r="H3" s="9" t="s">
        <v>3</v>
      </c>
    </row>
    <row r="4" spans="1:8" ht="14.4" customHeight="1" x14ac:dyDescent="0.3">
      <c r="A4" s="102" t="s">
        <v>4</v>
      </c>
      <c r="B4" s="102"/>
      <c r="C4" s="102" t="s">
        <v>5</v>
      </c>
      <c r="D4" s="102"/>
      <c r="E4" s="102"/>
      <c r="F4" s="102"/>
      <c r="G4" s="102"/>
      <c r="H4" s="9" t="s">
        <v>6</v>
      </c>
    </row>
    <row r="5" spans="1:8" ht="14.4" customHeight="1" x14ac:dyDescent="0.3">
      <c r="A5" s="102" t="s">
        <v>7</v>
      </c>
      <c r="B5" s="102"/>
      <c r="C5" s="102"/>
      <c r="D5" s="102"/>
      <c r="E5" s="102"/>
      <c r="F5" s="102"/>
      <c r="G5" s="102"/>
      <c r="H5" s="9" t="s">
        <v>8</v>
      </c>
    </row>
    <row r="7" spans="1:8" x14ac:dyDescent="0.3">
      <c r="A7" s="7" t="s">
        <v>9</v>
      </c>
      <c r="B7" s="10" t="s">
        <v>10</v>
      </c>
      <c r="C7" s="3"/>
      <c r="D7" s="3"/>
      <c r="E7" s="4"/>
      <c r="F7" s="3"/>
      <c r="G7" s="3"/>
      <c r="H7" s="3"/>
    </row>
    <row r="8" spans="1:8" x14ac:dyDescent="0.3">
      <c r="A8" s="7" t="s">
        <v>11</v>
      </c>
      <c r="B8" s="10" t="s">
        <v>344</v>
      </c>
      <c r="C8" s="3" t="s">
        <v>345</v>
      </c>
      <c r="D8" s="3"/>
      <c r="E8" s="11">
        <f>SUM(E11:E1048572)</f>
        <v>1.0000000000000004</v>
      </c>
      <c r="F8" s="3"/>
      <c r="G8" s="3"/>
      <c r="H8" s="3"/>
    </row>
    <row r="9" spans="1:8" x14ac:dyDescent="0.3">
      <c r="A9" s="7" t="s">
        <v>14</v>
      </c>
      <c r="B9" s="10" t="s">
        <v>86</v>
      </c>
      <c r="C9" s="3"/>
      <c r="D9" s="3"/>
      <c r="E9" s="4"/>
      <c r="F9" s="3"/>
      <c r="G9" s="3"/>
      <c r="H9" s="3"/>
    </row>
    <row r="10" spans="1:8" ht="9.6" customHeight="1" x14ac:dyDescent="0.3">
      <c r="A10" s="3"/>
      <c r="B10" s="3"/>
      <c r="C10" s="3"/>
      <c r="D10" s="3"/>
      <c r="E10" s="4"/>
      <c r="F10" s="3"/>
      <c r="G10" s="3"/>
      <c r="H10" s="3"/>
    </row>
    <row r="11" spans="1:8" s="1" customFormat="1" ht="27.6" customHeight="1" x14ac:dyDescent="0.3">
      <c r="A11" s="7" t="s">
        <v>16</v>
      </c>
      <c r="B11" s="7" t="s">
        <v>17</v>
      </c>
      <c r="C11" s="7" t="s">
        <v>18</v>
      </c>
      <c r="D11" s="7" t="s">
        <v>19</v>
      </c>
      <c r="E11" s="8" t="s">
        <v>20</v>
      </c>
      <c r="F11" s="7" t="s">
        <v>21</v>
      </c>
      <c r="G11" s="7" t="s">
        <v>22</v>
      </c>
      <c r="H11" s="7" t="s">
        <v>23</v>
      </c>
    </row>
    <row r="12" spans="1:8" ht="44.25" customHeight="1" x14ac:dyDescent="0.3">
      <c r="A12" s="2">
        <v>1</v>
      </c>
      <c r="B12" s="2" t="s">
        <v>346</v>
      </c>
      <c r="C12" s="12" t="s">
        <v>347</v>
      </c>
      <c r="D12" s="2" t="s">
        <v>89</v>
      </c>
      <c r="E12" s="5">
        <v>0.02</v>
      </c>
      <c r="F12" s="2" t="s">
        <v>27</v>
      </c>
      <c r="G12" s="2" t="s">
        <v>185</v>
      </c>
      <c r="H12" s="2" t="s">
        <v>29</v>
      </c>
    </row>
    <row r="13" spans="1:8" ht="44.25" customHeight="1" x14ac:dyDescent="0.3">
      <c r="A13" s="2">
        <v>2</v>
      </c>
      <c r="B13" s="2" t="s">
        <v>348</v>
      </c>
      <c r="C13" s="12" t="s">
        <v>349</v>
      </c>
      <c r="D13" s="2" t="s">
        <v>51</v>
      </c>
      <c r="E13" s="5">
        <v>0.06</v>
      </c>
      <c r="F13" s="2" t="s">
        <v>27</v>
      </c>
      <c r="G13" s="2" t="s">
        <v>350</v>
      </c>
      <c r="H13" s="2" t="s">
        <v>29</v>
      </c>
    </row>
    <row r="14" spans="1:8" ht="44.25" customHeight="1" x14ac:dyDescent="0.3">
      <c r="A14" s="2">
        <v>3</v>
      </c>
      <c r="B14" s="2" t="s">
        <v>351</v>
      </c>
      <c r="C14" s="12" t="s">
        <v>352</v>
      </c>
      <c r="D14" s="2" t="s">
        <v>51</v>
      </c>
      <c r="E14" s="5">
        <v>0.2</v>
      </c>
      <c r="F14" s="2" t="s">
        <v>27</v>
      </c>
      <c r="G14" s="2" t="s">
        <v>350</v>
      </c>
      <c r="H14" s="2" t="s">
        <v>29</v>
      </c>
    </row>
    <row r="15" spans="1:8" ht="44.25" customHeight="1" x14ac:dyDescent="0.3">
      <c r="A15" s="2">
        <v>4</v>
      </c>
      <c r="B15" s="2" t="s">
        <v>353</v>
      </c>
      <c r="C15" s="12" t="s">
        <v>354</v>
      </c>
      <c r="D15" s="2" t="s">
        <v>51</v>
      </c>
      <c r="E15" s="5">
        <v>0.03</v>
      </c>
      <c r="F15" s="2" t="s">
        <v>27</v>
      </c>
      <c r="G15" s="2" t="s">
        <v>350</v>
      </c>
      <c r="H15" s="2" t="s">
        <v>29</v>
      </c>
    </row>
    <row r="16" spans="1:8" ht="44.25" customHeight="1" x14ac:dyDescent="0.3">
      <c r="A16" s="2">
        <v>5</v>
      </c>
      <c r="B16" s="2" t="s">
        <v>355</v>
      </c>
      <c r="C16" s="12" t="s">
        <v>356</v>
      </c>
      <c r="D16" s="2" t="s">
        <v>26</v>
      </c>
      <c r="E16" s="5">
        <v>0.02</v>
      </c>
      <c r="F16" s="2" t="s">
        <v>27</v>
      </c>
      <c r="G16" s="2" t="s">
        <v>185</v>
      </c>
      <c r="H16" s="2" t="s">
        <v>29</v>
      </c>
    </row>
    <row r="17" spans="1:8" ht="44.25" customHeight="1" x14ac:dyDescent="0.3">
      <c r="A17" s="2">
        <v>6</v>
      </c>
      <c r="B17" s="12" t="s">
        <v>357</v>
      </c>
      <c r="C17" s="12" t="s">
        <v>358</v>
      </c>
      <c r="D17" s="2" t="s">
        <v>51</v>
      </c>
      <c r="E17" s="5">
        <v>0.03</v>
      </c>
      <c r="F17" s="2" t="s">
        <v>27</v>
      </c>
      <c r="G17" s="2" t="s">
        <v>350</v>
      </c>
      <c r="H17" s="2" t="s">
        <v>29</v>
      </c>
    </row>
    <row r="18" spans="1:8" ht="44.25" customHeight="1" x14ac:dyDescent="0.3">
      <c r="A18" s="2">
        <v>7</v>
      </c>
      <c r="B18" s="2" t="s">
        <v>359</v>
      </c>
      <c r="C18" s="12" t="s">
        <v>360</v>
      </c>
      <c r="D18" s="2" t="s">
        <v>26</v>
      </c>
      <c r="E18" s="5">
        <v>0.02</v>
      </c>
      <c r="F18" s="2" t="s">
        <v>27</v>
      </c>
      <c r="G18" s="2" t="s">
        <v>185</v>
      </c>
      <c r="H18" s="2" t="s">
        <v>29</v>
      </c>
    </row>
    <row r="19" spans="1:8" ht="44.25" customHeight="1" x14ac:dyDescent="0.3">
      <c r="A19" s="2">
        <v>8</v>
      </c>
      <c r="B19" s="2" t="s">
        <v>361</v>
      </c>
      <c r="C19" s="2" t="s">
        <v>362</v>
      </c>
      <c r="D19" s="2" t="s">
        <v>26</v>
      </c>
      <c r="E19" s="5">
        <v>0.02</v>
      </c>
      <c r="F19" s="2" t="s">
        <v>27</v>
      </c>
      <c r="G19" s="2" t="s">
        <v>185</v>
      </c>
      <c r="H19" s="2" t="s">
        <v>29</v>
      </c>
    </row>
    <row r="20" spans="1:8" ht="44.25" customHeight="1" x14ac:dyDescent="0.3">
      <c r="A20" s="2">
        <v>9</v>
      </c>
      <c r="B20" s="2" t="s">
        <v>363</v>
      </c>
      <c r="C20" s="12" t="s">
        <v>364</v>
      </c>
      <c r="D20" s="2" t="s">
        <v>51</v>
      </c>
      <c r="E20" s="5">
        <v>0.1</v>
      </c>
      <c r="F20" s="2" t="s">
        <v>27</v>
      </c>
      <c r="G20" s="2" t="s">
        <v>350</v>
      </c>
      <c r="H20" s="2" t="s">
        <v>29</v>
      </c>
    </row>
    <row r="21" spans="1:8" ht="44.25" customHeight="1" x14ac:dyDescent="0.3">
      <c r="A21" s="2">
        <v>10</v>
      </c>
      <c r="B21" s="2" t="s">
        <v>365</v>
      </c>
      <c r="C21" s="12" t="s">
        <v>366</v>
      </c>
      <c r="D21" s="2" t="s">
        <v>51</v>
      </c>
      <c r="E21" s="5">
        <v>0.05</v>
      </c>
      <c r="F21" s="2" t="s">
        <v>27</v>
      </c>
      <c r="G21" s="2" t="s">
        <v>185</v>
      </c>
      <c r="H21" s="2" t="s">
        <v>29</v>
      </c>
    </row>
    <row r="22" spans="1:8" ht="44.25" customHeight="1" x14ac:dyDescent="0.3">
      <c r="A22" s="2">
        <v>11</v>
      </c>
      <c r="B22" s="2" t="s">
        <v>367</v>
      </c>
      <c r="C22" s="2" t="s">
        <v>368</v>
      </c>
      <c r="D22" s="2" t="s">
        <v>51</v>
      </c>
      <c r="E22" s="5">
        <v>0.03</v>
      </c>
      <c r="F22" s="2" t="s">
        <v>27</v>
      </c>
      <c r="G22" s="2" t="s">
        <v>185</v>
      </c>
      <c r="H22" s="2" t="s">
        <v>29</v>
      </c>
    </row>
    <row r="23" spans="1:8" ht="44.25" customHeight="1" x14ac:dyDescent="0.3">
      <c r="A23" s="2">
        <v>12</v>
      </c>
      <c r="B23" s="2" t="s">
        <v>369</v>
      </c>
      <c r="C23" s="12" t="s">
        <v>370</v>
      </c>
      <c r="D23" s="2" t="s">
        <v>51</v>
      </c>
      <c r="E23" s="5">
        <v>0.03</v>
      </c>
      <c r="F23" s="2" t="s">
        <v>27</v>
      </c>
      <c r="G23" s="2" t="s">
        <v>185</v>
      </c>
      <c r="H23" s="2" t="s">
        <v>29</v>
      </c>
    </row>
    <row r="24" spans="1:8" ht="44.25" customHeight="1" x14ac:dyDescent="0.3">
      <c r="A24" s="2">
        <v>13</v>
      </c>
      <c r="B24" s="2" t="s">
        <v>371</v>
      </c>
      <c r="C24" s="12" t="s">
        <v>372</v>
      </c>
      <c r="D24" s="2" t="s">
        <v>51</v>
      </c>
      <c r="E24" s="5">
        <v>0.03</v>
      </c>
      <c r="F24" s="2" t="s">
        <v>27</v>
      </c>
      <c r="G24" s="2" t="s">
        <v>350</v>
      </c>
      <c r="H24" s="2" t="s">
        <v>29</v>
      </c>
    </row>
    <row r="25" spans="1:8" ht="44.25" customHeight="1" x14ac:dyDescent="0.3">
      <c r="A25" s="2">
        <v>14</v>
      </c>
      <c r="B25" s="2" t="s">
        <v>373</v>
      </c>
      <c r="C25" s="12" t="s">
        <v>374</v>
      </c>
      <c r="D25" s="2" t="s">
        <v>26</v>
      </c>
      <c r="E25" s="5">
        <v>0.02</v>
      </c>
      <c r="F25" s="2" t="s">
        <v>27</v>
      </c>
      <c r="G25" s="2" t="s">
        <v>185</v>
      </c>
      <c r="H25" s="2" t="s">
        <v>29</v>
      </c>
    </row>
    <row r="26" spans="1:8" ht="44.25" customHeight="1" x14ac:dyDescent="0.3">
      <c r="A26" s="2">
        <v>15</v>
      </c>
      <c r="B26" s="2" t="s">
        <v>375</v>
      </c>
      <c r="C26" s="2" t="s">
        <v>376</v>
      </c>
      <c r="D26" s="2" t="s">
        <v>26</v>
      </c>
      <c r="E26" s="5">
        <v>0.02</v>
      </c>
      <c r="F26" s="2" t="s">
        <v>27</v>
      </c>
      <c r="G26" s="2" t="s">
        <v>185</v>
      </c>
      <c r="H26" s="2" t="s">
        <v>29</v>
      </c>
    </row>
    <row r="27" spans="1:8" ht="44.25" customHeight="1" x14ac:dyDescent="0.3">
      <c r="A27" s="2">
        <v>16</v>
      </c>
      <c r="B27" s="2" t="s">
        <v>377</v>
      </c>
      <c r="C27" s="2" t="s">
        <v>378</v>
      </c>
      <c r="D27" s="2" t="s">
        <v>51</v>
      </c>
      <c r="E27" s="5">
        <v>0.05</v>
      </c>
      <c r="F27" s="2" t="s">
        <v>27</v>
      </c>
      <c r="G27" s="2" t="s">
        <v>379</v>
      </c>
      <c r="H27" s="2" t="s">
        <v>29</v>
      </c>
    </row>
    <row r="28" spans="1:8" ht="44.25" customHeight="1" x14ac:dyDescent="0.3">
      <c r="A28" s="2">
        <v>17</v>
      </c>
      <c r="B28" s="2" t="s">
        <v>380</v>
      </c>
      <c r="C28" s="2" t="s">
        <v>381</v>
      </c>
      <c r="D28" s="2" t="s">
        <v>51</v>
      </c>
      <c r="E28" s="5">
        <v>0.05</v>
      </c>
      <c r="F28" s="2" t="s">
        <v>27</v>
      </c>
      <c r="G28" s="2" t="s">
        <v>185</v>
      </c>
      <c r="H28" s="2" t="s">
        <v>29</v>
      </c>
    </row>
    <row r="29" spans="1:8" ht="44.25" customHeight="1" x14ac:dyDescent="0.3">
      <c r="A29" s="2">
        <v>18</v>
      </c>
      <c r="B29" s="2" t="s">
        <v>382</v>
      </c>
      <c r="C29" s="12" t="s">
        <v>383</v>
      </c>
      <c r="D29" s="2" t="s">
        <v>51</v>
      </c>
      <c r="E29" s="5">
        <v>0.04</v>
      </c>
      <c r="F29" s="2" t="s">
        <v>27</v>
      </c>
      <c r="G29" s="2" t="s">
        <v>185</v>
      </c>
      <c r="H29" s="2" t="s">
        <v>29</v>
      </c>
    </row>
    <row r="30" spans="1:8" ht="44.25" customHeight="1" x14ac:dyDescent="0.3">
      <c r="A30" s="2">
        <v>19</v>
      </c>
      <c r="B30" s="2" t="s">
        <v>384</v>
      </c>
      <c r="C30" s="2" t="s">
        <v>385</v>
      </c>
      <c r="D30" s="2" t="s">
        <v>51</v>
      </c>
      <c r="E30" s="5">
        <v>0.05</v>
      </c>
      <c r="F30" s="2" t="s">
        <v>27</v>
      </c>
      <c r="G30" s="2" t="s">
        <v>350</v>
      </c>
      <c r="H30" s="2" t="s">
        <v>29</v>
      </c>
    </row>
    <row r="31" spans="1:8" ht="44.25" customHeight="1" x14ac:dyDescent="0.3">
      <c r="A31" s="2">
        <v>20</v>
      </c>
      <c r="B31" s="2" t="s">
        <v>386</v>
      </c>
      <c r="C31" s="2" t="s">
        <v>387</v>
      </c>
      <c r="D31" s="2" t="s">
        <v>51</v>
      </c>
      <c r="E31" s="5">
        <v>0.03</v>
      </c>
      <c r="F31" s="2" t="s">
        <v>27</v>
      </c>
      <c r="G31" s="2" t="s">
        <v>350</v>
      </c>
      <c r="H31" s="2" t="s">
        <v>29</v>
      </c>
    </row>
    <row r="32" spans="1:8" ht="44.25" customHeight="1" x14ac:dyDescent="0.3">
      <c r="A32" s="2">
        <v>21</v>
      </c>
      <c r="B32" s="2" t="s">
        <v>388</v>
      </c>
      <c r="C32" s="12" t="s">
        <v>389</v>
      </c>
      <c r="D32" s="2" t="s">
        <v>26</v>
      </c>
      <c r="E32" s="5">
        <v>0.02</v>
      </c>
      <c r="F32" s="2" t="s">
        <v>27</v>
      </c>
      <c r="G32" s="2" t="s">
        <v>185</v>
      </c>
      <c r="H32" s="2" t="s">
        <v>29</v>
      </c>
    </row>
    <row r="33" spans="1:8" ht="44.25" customHeight="1" x14ac:dyDescent="0.3">
      <c r="A33" s="2">
        <v>22</v>
      </c>
      <c r="B33" s="2" t="s">
        <v>390</v>
      </c>
      <c r="C33" s="12" t="s">
        <v>391</v>
      </c>
      <c r="D33" s="2" t="s">
        <v>26</v>
      </c>
      <c r="E33" s="5">
        <v>0.02</v>
      </c>
      <c r="F33" s="2" t="s">
        <v>27</v>
      </c>
      <c r="G33" s="2" t="s">
        <v>379</v>
      </c>
      <c r="H33" s="2" t="s">
        <v>29</v>
      </c>
    </row>
    <row r="34" spans="1:8" ht="44.25" customHeight="1" x14ac:dyDescent="0.3">
      <c r="A34" s="2">
        <v>23</v>
      </c>
      <c r="B34" s="2" t="s">
        <v>392</v>
      </c>
      <c r="C34" s="12" t="s">
        <v>393</v>
      </c>
      <c r="D34" s="2" t="s">
        <v>26</v>
      </c>
      <c r="E34" s="5">
        <v>0.02</v>
      </c>
      <c r="F34" s="2" t="s">
        <v>27</v>
      </c>
      <c r="G34" s="2" t="s">
        <v>379</v>
      </c>
      <c r="H34" s="2" t="s">
        <v>29</v>
      </c>
    </row>
    <row r="35" spans="1:8" ht="44.25" customHeight="1" x14ac:dyDescent="0.3">
      <c r="A35" s="2">
        <v>24</v>
      </c>
      <c r="B35" s="2" t="s">
        <v>394</v>
      </c>
      <c r="C35" s="12" t="s">
        <v>395</v>
      </c>
      <c r="D35" s="2" t="s">
        <v>172</v>
      </c>
      <c r="E35" s="5">
        <v>0.02</v>
      </c>
      <c r="F35" s="2" t="s">
        <v>27</v>
      </c>
      <c r="G35" s="2" t="s">
        <v>396</v>
      </c>
      <c r="H35" s="2" t="s">
        <v>396</v>
      </c>
    </row>
    <row r="36" spans="1:8" ht="44.25" customHeight="1" x14ac:dyDescent="0.3">
      <c r="A36" s="2">
        <v>25</v>
      </c>
      <c r="B36" s="2" t="s">
        <v>397</v>
      </c>
      <c r="C36" s="12" t="s">
        <v>398</v>
      </c>
      <c r="D36" s="2" t="s">
        <v>26</v>
      </c>
      <c r="E36" s="5">
        <v>0.02</v>
      </c>
      <c r="F36" s="2" t="s">
        <v>27</v>
      </c>
      <c r="G36" s="2" t="s">
        <v>185</v>
      </c>
      <c r="H36" s="2" t="s">
        <v>29</v>
      </c>
    </row>
    <row r="41" spans="1:8" x14ac:dyDescent="0.3">
      <c r="B41" s="1" t="s">
        <v>81</v>
      </c>
      <c r="C41" s="1" t="s">
        <v>82</v>
      </c>
      <c r="D41" s="1" t="s">
        <v>83</v>
      </c>
      <c r="H41" s="1" t="s">
        <v>84</v>
      </c>
    </row>
  </sheetData>
  <autoFilter ref="A11:H35" xr:uid="{BD1FD3E3-A746-4230-B5F6-F52054329EFD}"/>
  <mergeCells count="5">
    <mergeCell ref="A1:B3"/>
    <mergeCell ref="C1:G3"/>
    <mergeCell ref="A4:B4"/>
    <mergeCell ref="C4:G5"/>
    <mergeCell ref="A5:B5"/>
  </mergeCells>
  <pageMargins left="0.7" right="0.7" top="0.75" bottom="0.75" header="0.3" footer="0.3"/>
  <pageSetup paperSize="9" orientation="portrait" verticalDpi="0"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3ACD259F-3160-44ED-8A05-4128DFE93260}">
          <x14:formula1>
            <xm:f>Hoja1!$A$1:$A$8</xm:f>
          </x14:formula1>
          <xm:sqref>D12:D36</xm:sqref>
        </x14:dataValidation>
        <x14:dataValidation type="list" allowBlank="1" showInputMessage="1" showErrorMessage="1" xr:uid="{5F703A31-4F76-4E4B-A105-78A52A91923D}">
          <x14:formula1>
            <xm:f>Hoja1!$B$1:$B$14</xm:f>
          </x14:formula1>
          <xm:sqref>F12:F36</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5D64C-530C-4857-9B99-2AED590BCEAF}">
  <dimension ref="A1:H44"/>
  <sheetViews>
    <sheetView showGridLines="0" topLeftCell="A23" zoomScale="112" workbookViewId="0">
      <selection activeCell="B24" sqref="B24"/>
    </sheetView>
  </sheetViews>
  <sheetFormatPr baseColWidth="10" defaultColWidth="11.44140625" defaultRowHeight="14.4" x14ac:dyDescent="0.3"/>
  <cols>
    <col min="1" max="1" width="9.6640625" style="1" bestFit="1" customWidth="1"/>
    <col min="2" max="2" width="52.6640625" style="1" customWidth="1"/>
    <col min="3" max="3" width="64" style="1" customWidth="1"/>
    <col min="4" max="4" width="11.5546875" style="1" bestFit="1" customWidth="1"/>
    <col min="5" max="5" width="9.88671875" style="6" bestFit="1" customWidth="1"/>
    <col min="6" max="6" width="11.5546875" style="1" customWidth="1"/>
    <col min="7" max="7" width="17.6640625" style="1" customWidth="1"/>
    <col min="8" max="8" width="44" style="1" customWidth="1"/>
  </cols>
  <sheetData>
    <row r="1" spans="1:8" ht="14.4" customHeight="1" x14ac:dyDescent="0.3">
      <c r="A1" s="95"/>
      <c r="B1" s="96"/>
      <c r="C1" s="101" t="s">
        <v>0</v>
      </c>
      <c r="D1" s="101"/>
      <c r="E1" s="101"/>
      <c r="F1" s="101"/>
      <c r="G1" s="101"/>
      <c r="H1" s="9" t="s">
        <v>1</v>
      </c>
    </row>
    <row r="2" spans="1:8" ht="14.4" customHeight="1" x14ac:dyDescent="0.3">
      <c r="A2" s="97"/>
      <c r="B2" s="98"/>
      <c r="C2" s="101"/>
      <c r="D2" s="101"/>
      <c r="E2" s="101"/>
      <c r="F2" s="101"/>
      <c r="G2" s="101"/>
      <c r="H2" s="9" t="s">
        <v>2</v>
      </c>
    </row>
    <row r="3" spans="1:8" ht="14.4" customHeight="1" x14ac:dyDescent="0.3">
      <c r="A3" s="99"/>
      <c r="B3" s="100"/>
      <c r="C3" s="101"/>
      <c r="D3" s="101"/>
      <c r="E3" s="101"/>
      <c r="F3" s="101"/>
      <c r="G3" s="101"/>
      <c r="H3" s="9" t="s">
        <v>3</v>
      </c>
    </row>
    <row r="4" spans="1:8" ht="14.4" customHeight="1" x14ac:dyDescent="0.3">
      <c r="A4" s="102" t="s">
        <v>4</v>
      </c>
      <c r="B4" s="102"/>
      <c r="C4" s="102" t="s">
        <v>5</v>
      </c>
      <c r="D4" s="102"/>
      <c r="E4" s="102"/>
      <c r="F4" s="102"/>
      <c r="G4" s="102"/>
      <c r="H4" s="9" t="s">
        <v>6</v>
      </c>
    </row>
    <row r="5" spans="1:8" ht="14.4" customHeight="1" x14ac:dyDescent="0.3">
      <c r="A5" s="102" t="s">
        <v>7</v>
      </c>
      <c r="B5" s="102"/>
      <c r="C5" s="102"/>
      <c r="D5" s="102"/>
      <c r="E5" s="102"/>
      <c r="F5" s="102"/>
      <c r="G5" s="102"/>
      <c r="H5" s="9" t="s">
        <v>8</v>
      </c>
    </row>
    <row r="7" spans="1:8" x14ac:dyDescent="0.3">
      <c r="A7" s="7" t="s">
        <v>9</v>
      </c>
      <c r="B7" s="10" t="s">
        <v>10</v>
      </c>
      <c r="C7" s="3"/>
      <c r="D7" s="3"/>
      <c r="E7" s="4"/>
      <c r="F7" s="3"/>
      <c r="G7" s="3"/>
      <c r="H7" s="3"/>
    </row>
    <row r="8" spans="1:8" x14ac:dyDescent="0.3">
      <c r="A8" s="7" t="s">
        <v>11</v>
      </c>
      <c r="B8" s="10" t="s">
        <v>399</v>
      </c>
      <c r="C8" s="3" t="s">
        <v>400</v>
      </c>
      <c r="D8" s="3"/>
      <c r="E8" s="4">
        <f>SUM(E11:E39)</f>
        <v>1.0000000000000004</v>
      </c>
      <c r="F8" s="3"/>
      <c r="G8" s="3"/>
      <c r="H8" s="3"/>
    </row>
    <row r="9" spans="1:8" x14ac:dyDescent="0.3">
      <c r="A9" s="7" t="s">
        <v>14</v>
      </c>
      <c r="B9" s="10" t="s">
        <v>86</v>
      </c>
      <c r="C9" s="3"/>
      <c r="D9" s="3"/>
      <c r="E9" s="4"/>
      <c r="F9" s="3"/>
      <c r="G9" s="3"/>
      <c r="H9" s="3"/>
    </row>
    <row r="10" spans="1:8" ht="9.6" customHeight="1" x14ac:dyDescent="0.3">
      <c r="A10" s="3"/>
      <c r="B10" s="3"/>
      <c r="C10" s="3"/>
      <c r="D10" s="3"/>
      <c r="E10" s="4"/>
      <c r="F10" s="3"/>
      <c r="G10" s="3"/>
      <c r="H10" s="3"/>
    </row>
    <row r="11" spans="1:8" s="1" customFormat="1" ht="27.6" customHeight="1" x14ac:dyDescent="0.3">
      <c r="A11" s="7" t="s">
        <v>16</v>
      </c>
      <c r="B11" s="7" t="s">
        <v>17</v>
      </c>
      <c r="C11" s="7" t="s">
        <v>18</v>
      </c>
      <c r="D11" s="7" t="s">
        <v>19</v>
      </c>
      <c r="E11" s="8" t="s">
        <v>20</v>
      </c>
      <c r="F11" s="7" t="s">
        <v>21</v>
      </c>
      <c r="G11" s="7" t="s">
        <v>22</v>
      </c>
      <c r="H11" s="7" t="s">
        <v>23</v>
      </c>
    </row>
    <row r="12" spans="1:8" ht="95.25" customHeight="1" x14ac:dyDescent="0.3">
      <c r="A12" s="24">
        <v>1</v>
      </c>
      <c r="B12" s="25" t="s">
        <v>401</v>
      </c>
      <c r="C12" s="26" t="s">
        <v>402</v>
      </c>
      <c r="D12" s="24" t="s">
        <v>89</v>
      </c>
      <c r="E12" s="27">
        <v>0.01</v>
      </c>
      <c r="F12" s="25" t="s">
        <v>27</v>
      </c>
      <c r="G12" s="25" t="s">
        <v>303</v>
      </c>
      <c r="H12" s="25" t="s">
        <v>29</v>
      </c>
    </row>
    <row r="13" spans="1:8" ht="95.25" customHeight="1" x14ac:dyDescent="0.3">
      <c r="A13" s="28">
        <v>2</v>
      </c>
      <c r="B13" s="29" t="s">
        <v>403</v>
      </c>
      <c r="C13" s="25" t="s">
        <v>404</v>
      </c>
      <c r="D13" s="30" t="s">
        <v>51</v>
      </c>
      <c r="E13" s="31">
        <v>0.01</v>
      </c>
      <c r="F13" s="30" t="s">
        <v>27</v>
      </c>
      <c r="G13" s="30" t="s">
        <v>350</v>
      </c>
      <c r="H13" s="30" t="s">
        <v>29</v>
      </c>
    </row>
    <row r="14" spans="1:8" ht="95.25" customHeight="1" x14ac:dyDescent="0.3">
      <c r="A14" s="28">
        <v>3</v>
      </c>
      <c r="B14" s="30" t="s">
        <v>405</v>
      </c>
      <c r="C14" s="32" t="s">
        <v>406</v>
      </c>
      <c r="D14" s="30" t="s">
        <v>51</v>
      </c>
      <c r="E14" s="31">
        <v>0.14000000000000001</v>
      </c>
      <c r="F14" s="30" t="s">
        <v>27</v>
      </c>
      <c r="G14" s="30" t="s">
        <v>303</v>
      </c>
      <c r="H14" s="30" t="s">
        <v>29</v>
      </c>
    </row>
    <row r="15" spans="1:8" ht="95.25" customHeight="1" x14ac:dyDescent="0.3">
      <c r="A15" s="28">
        <v>4</v>
      </c>
      <c r="B15" s="30" t="s">
        <v>407</v>
      </c>
      <c r="C15" s="30" t="s">
        <v>408</v>
      </c>
      <c r="D15" s="30" t="s">
        <v>26</v>
      </c>
      <c r="E15" s="31">
        <v>0.03</v>
      </c>
      <c r="F15" s="30" t="s">
        <v>27</v>
      </c>
      <c r="G15" s="30" t="s">
        <v>409</v>
      </c>
      <c r="H15" s="30" t="s">
        <v>29</v>
      </c>
    </row>
    <row r="16" spans="1:8" ht="95.25" customHeight="1" x14ac:dyDescent="0.3">
      <c r="A16" s="28">
        <v>5</v>
      </c>
      <c r="B16" s="30" t="s">
        <v>410</v>
      </c>
      <c r="C16" s="32" t="s">
        <v>411</v>
      </c>
      <c r="D16" s="30" t="s">
        <v>26</v>
      </c>
      <c r="E16" s="31">
        <v>0.12</v>
      </c>
      <c r="F16" s="30" t="s">
        <v>27</v>
      </c>
      <c r="G16" s="30" t="s">
        <v>412</v>
      </c>
      <c r="H16" s="30" t="s">
        <v>29</v>
      </c>
    </row>
    <row r="17" spans="1:8" ht="95.25" customHeight="1" x14ac:dyDescent="0.3">
      <c r="A17" s="28">
        <v>6</v>
      </c>
      <c r="B17" s="30" t="s">
        <v>413</v>
      </c>
      <c r="C17" s="30" t="s">
        <v>414</v>
      </c>
      <c r="D17" s="30" t="s">
        <v>51</v>
      </c>
      <c r="E17" s="31">
        <v>0.1</v>
      </c>
      <c r="F17" s="30" t="s">
        <v>27</v>
      </c>
      <c r="G17" s="30" t="s">
        <v>412</v>
      </c>
      <c r="H17" s="30" t="s">
        <v>29</v>
      </c>
    </row>
    <row r="18" spans="1:8" ht="95.25" customHeight="1" x14ac:dyDescent="0.3">
      <c r="A18" s="28">
        <v>7</v>
      </c>
      <c r="B18" s="30" t="s">
        <v>415</v>
      </c>
      <c r="C18" s="26" t="s">
        <v>416</v>
      </c>
      <c r="D18" s="28" t="s">
        <v>89</v>
      </c>
      <c r="E18" s="31">
        <v>0.03</v>
      </c>
      <c r="F18" s="30" t="s">
        <v>27</v>
      </c>
      <c r="G18" s="30" t="s">
        <v>303</v>
      </c>
      <c r="H18" s="30" t="s">
        <v>29</v>
      </c>
    </row>
    <row r="19" spans="1:8" ht="95.25" customHeight="1" x14ac:dyDescent="0.3">
      <c r="A19" s="28">
        <v>8</v>
      </c>
      <c r="B19" s="30" t="s">
        <v>417</v>
      </c>
      <c r="C19" s="33" t="s">
        <v>418</v>
      </c>
      <c r="D19" s="30" t="s">
        <v>51</v>
      </c>
      <c r="E19" s="31">
        <v>0.02</v>
      </c>
      <c r="F19" s="30" t="s">
        <v>27</v>
      </c>
      <c r="G19" s="30" t="s">
        <v>303</v>
      </c>
      <c r="H19" s="30" t="s">
        <v>29</v>
      </c>
    </row>
    <row r="20" spans="1:8" ht="95.25" customHeight="1" x14ac:dyDescent="0.3">
      <c r="A20" s="28">
        <v>9</v>
      </c>
      <c r="B20" s="30" t="s">
        <v>419</v>
      </c>
      <c r="C20" s="30" t="s">
        <v>420</v>
      </c>
      <c r="D20" s="30" t="s">
        <v>26</v>
      </c>
      <c r="E20" s="31">
        <v>0.03</v>
      </c>
      <c r="F20" s="30" t="s">
        <v>27</v>
      </c>
      <c r="G20" s="30" t="s">
        <v>303</v>
      </c>
      <c r="H20" s="30" t="s">
        <v>29</v>
      </c>
    </row>
    <row r="21" spans="1:8" ht="95.25" customHeight="1" x14ac:dyDescent="0.3">
      <c r="A21" s="28">
        <v>10</v>
      </c>
      <c r="B21" s="30" t="s">
        <v>421</v>
      </c>
      <c r="C21" s="30" t="s">
        <v>422</v>
      </c>
      <c r="D21" s="30" t="s">
        <v>172</v>
      </c>
      <c r="E21" s="31">
        <v>0.02</v>
      </c>
      <c r="F21" s="30" t="s">
        <v>27</v>
      </c>
      <c r="G21" s="30" t="s">
        <v>303</v>
      </c>
      <c r="H21" s="30" t="s">
        <v>29</v>
      </c>
    </row>
    <row r="22" spans="1:8" ht="95.25" customHeight="1" x14ac:dyDescent="0.3">
      <c r="A22" s="28">
        <v>11</v>
      </c>
      <c r="B22" s="30" t="s">
        <v>423</v>
      </c>
      <c r="C22" s="30" t="s">
        <v>424</v>
      </c>
      <c r="D22" s="30" t="s">
        <v>51</v>
      </c>
      <c r="E22" s="31">
        <v>0.01</v>
      </c>
      <c r="F22" s="30" t="s">
        <v>27</v>
      </c>
      <c r="G22" s="30" t="s">
        <v>303</v>
      </c>
      <c r="H22" s="30" t="s">
        <v>29</v>
      </c>
    </row>
    <row r="23" spans="1:8" ht="95.25" customHeight="1" x14ac:dyDescent="0.3">
      <c r="A23" s="28">
        <v>12</v>
      </c>
      <c r="B23" s="30" t="s">
        <v>425</v>
      </c>
      <c r="C23" s="30" t="s">
        <v>426</v>
      </c>
      <c r="D23" s="30" t="s">
        <v>51</v>
      </c>
      <c r="E23" s="31">
        <v>0.01</v>
      </c>
      <c r="F23" s="30" t="s">
        <v>27</v>
      </c>
      <c r="G23" s="30" t="s">
        <v>303</v>
      </c>
      <c r="H23" s="30" t="s">
        <v>29</v>
      </c>
    </row>
    <row r="24" spans="1:8" ht="95.25" customHeight="1" x14ac:dyDescent="0.3">
      <c r="A24" s="28">
        <v>13</v>
      </c>
      <c r="B24" s="30" t="s">
        <v>427</v>
      </c>
      <c r="C24" s="26" t="s">
        <v>428</v>
      </c>
      <c r="D24" s="28" t="s">
        <v>89</v>
      </c>
      <c r="E24" s="31">
        <v>0.08</v>
      </c>
      <c r="F24" s="30" t="s">
        <v>27</v>
      </c>
      <c r="G24" s="30" t="s">
        <v>303</v>
      </c>
      <c r="H24" s="30" t="s">
        <v>29</v>
      </c>
    </row>
    <row r="25" spans="1:8" ht="95.25" customHeight="1" x14ac:dyDescent="0.3">
      <c r="A25" s="28">
        <v>14</v>
      </c>
      <c r="B25" s="30" t="s">
        <v>429</v>
      </c>
      <c r="C25" s="25" t="s">
        <v>430</v>
      </c>
      <c r="D25" s="30" t="s">
        <v>89</v>
      </c>
      <c r="E25" s="31">
        <v>0.05</v>
      </c>
      <c r="F25" s="30" t="s">
        <v>27</v>
      </c>
      <c r="G25" s="30" t="s">
        <v>303</v>
      </c>
      <c r="H25" s="30" t="s">
        <v>29</v>
      </c>
    </row>
    <row r="26" spans="1:8" ht="95.25" customHeight="1" x14ac:dyDescent="0.3">
      <c r="A26" s="28">
        <v>15</v>
      </c>
      <c r="B26" s="30" t="s">
        <v>431</v>
      </c>
      <c r="C26" s="30" t="s">
        <v>432</v>
      </c>
      <c r="D26" s="30" t="s">
        <v>172</v>
      </c>
      <c r="E26" s="31">
        <v>0.02</v>
      </c>
      <c r="F26" s="30" t="s">
        <v>27</v>
      </c>
      <c r="G26" s="30" t="s">
        <v>412</v>
      </c>
      <c r="H26" s="30" t="s">
        <v>29</v>
      </c>
    </row>
    <row r="27" spans="1:8" ht="95.25" customHeight="1" x14ac:dyDescent="0.3">
      <c r="A27" s="28">
        <v>16</v>
      </c>
      <c r="B27" s="30" t="s">
        <v>433</v>
      </c>
      <c r="C27" s="30" t="s">
        <v>434</v>
      </c>
      <c r="D27" s="30" t="s">
        <v>26</v>
      </c>
      <c r="E27" s="31">
        <v>0.02</v>
      </c>
      <c r="F27" s="30" t="s">
        <v>27</v>
      </c>
      <c r="G27" s="30" t="s">
        <v>303</v>
      </c>
      <c r="H27" s="30" t="s">
        <v>29</v>
      </c>
    </row>
    <row r="28" spans="1:8" ht="95.25" customHeight="1" x14ac:dyDescent="0.3">
      <c r="A28" s="28">
        <v>17</v>
      </c>
      <c r="B28" s="32" t="s">
        <v>435</v>
      </c>
      <c r="C28" s="30" t="s">
        <v>436</v>
      </c>
      <c r="D28" s="30" t="s">
        <v>26</v>
      </c>
      <c r="E28" s="31">
        <v>0.02</v>
      </c>
      <c r="F28" s="30" t="s">
        <v>27</v>
      </c>
      <c r="G28" s="30" t="s">
        <v>350</v>
      </c>
      <c r="H28" s="30" t="s">
        <v>29</v>
      </c>
    </row>
    <row r="29" spans="1:8" ht="95.25" customHeight="1" x14ac:dyDescent="0.3">
      <c r="A29" s="28">
        <v>18</v>
      </c>
      <c r="B29" s="32" t="s">
        <v>437</v>
      </c>
      <c r="C29" s="34" t="s">
        <v>438</v>
      </c>
      <c r="D29" s="28" t="s">
        <v>51</v>
      </c>
      <c r="E29" s="31">
        <v>0.01</v>
      </c>
      <c r="F29" s="30" t="s">
        <v>27</v>
      </c>
      <c r="G29" s="30" t="s">
        <v>220</v>
      </c>
      <c r="H29" s="30" t="s">
        <v>29</v>
      </c>
    </row>
    <row r="30" spans="1:8" ht="95.25" customHeight="1" x14ac:dyDescent="0.3">
      <c r="A30" s="28">
        <v>19</v>
      </c>
      <c r="B30" s="30" t="s">
        <v>439</v>
      </c>
      <c r="C30" s="25" t="s">
        <v>440</v>
      </c>
      <c r="D30" s="30" t="s">
        <v>51</v>
      </c>
      <c r="E30" s="31">
        <v>0.03</v>
      </c>
      <c r="F30" s="30" t="s">
        <v>27</v>
      </c>
      <c r="G30" s="30" t="s">
        <v>441</v>
      </c>
      <c r="H30" s="30" t="s">
        <v>29</v>
      </c>
    </row>
    <row r="31" spans="1:8" ht="95.25" customHeight="1" x14ac:dyDescent="0.3">
      <c r="A31" s="28">
        <v>20</v>
      </c>
      <c r="B31" s="30" t="s">
        <v>442</v>
      </c>
      <c r="C31" s="30" t="s">
        <v>443</v>
      </c>
      <c r="D31" s="30" t="s">
        <v>172</v>
      </c>
      <c r="E31" s="31">
        <v>0.05</v>
      </c>
      <c r="F31" s="30" t="s">
        <v>27</v>
      </c>
      <c r="G31" s="30" t="s">
        <v>303</v>
      </c>
      <c r="H31" s="30" t="s">
        <v>29</v>
      </c>
    </row>
    <row r="32" spans="1:8" ht="95.25" customHeight="1" x14ac:dyDescent="0.3">
      <c r="A32" s="28">
        <v>21</v>
      </c>
      <c r="B32" s="32" t="s">
        <v>444</v>
      </c>
      <c r="C32" s="30" t="s">
        <v>445</v>
      </c>
      <c r="D32" s="30" t="s">
        <v>26</v>
      </c>
      <c r="E32" s="31">
        <v>0.02</v>
      </c>
      <c r="F32" s="30" t="s">
        <v>27</v>
      </c>
      <c r="G32" s="30" t="s">
        <v>303</v>
      </c>
      <c r="H32" s="30" t="s">
        <v>29</v>
      </c>
    </row>
    <row r="33" spans="1:8" ht="95.25" customHeight="1" x14ac:dyDescent="0.3">
      <c r="A33" s="28">
        <v>22</v>
      </c>
      <c r="B33" s="30" t="s">
        <v>446</v>
      </c>
      <c r="C33" s="32" t="s">
        <v>447</v>
      </c>
      <c r="D33" s="30" t="s">
        <v>172</v>
      </c>
      <c r="E33" s="31">
        <v>0.05</v>
      </c>
      <c r="F33" s="30" t="s">
        <v>27</v>
      </c>
      <c r="G33" s="30" t="s">
        <v>303</v>
      </c>
      <c r="H33" s="30" t="s">
        <v>29</v>
      </c>
    </row>
    <row r="34" spans="1:8" ht="95.25" customHeight="1" x14ac:dyDescent="0.3">
      <c r="A34" s="28">
        <v>23</v>
      </c>
      <c r="B34" s="30" t="s">
        <v>448</v>
      </c>
      <c r="C34" s="30" t="s">
        <v>449</v>
      </c>
      <c r="D34" s="30" t="s">
        <v>172</v>
      </c>
      <c r="E34" s="31">
        <v>0.02</v>
      </c>
      <c r="F34" s="30" t="s">
        <v>27</v>
      </c>
      <c r="G34" s="30" t="s">
        <v>303</v>
      </c>
      <c r="H34" s="30" t="s">
        <v>29</v>
      </c>
    </row>
    <row r="35" spans="1:8" ht="95.25" customHeight="1" x14ac:dyDescent="0.3">
      <c r="A35" s="28">
        <v>24</v>
      </c>
      <c r="B35" s="32" t="s">
        <v>450</v>
      </c>
      <c r="C35" s="30" t="s">
        <v>451</v>
      </c>
      <c r="D35" s="30" t="s">
        <v>51</v>
      </c>
      <c r="E35" s="31">
        <v>0.02</v>
      </c>
      <c r="F35" s="30" t="s">
        <v>27</v>
      </c>
      <c r="G35" s="30" t="s">
        <v>452</v>
      </c>
      <c r="H35" s="30" t="s">
        <v>29</v>
      </c>
    </row>
    <row r="36" spans="1:8" ht="95.25" customHeight="1" x14ac:dyDescent="0.3">
      <c r="A36" s="28">
        <v>25</v>
      </c>
      <c r="B36" s="30" t="s">
        <v>453</v>
      </c>
      <c r="C36" s="30" t="s">
        <v>454</v>
      </c>
      <c r="D36" s="30" t="s">
        <v>89</v>
      </c>
      <c r="E36" s="31">
        <v>0.02</v>
      </c>
      <c r="F36" s="30" t="s">
        <v>27</v>
      </c>
      <c r="G36" s="30" t="s">
        <v>303</v>
      </c>
      <c r="H36" s="30" t="s">
        <v>29</v>
      </c>
    </row>
    <row r="37" spans="1:8" ht="95.25" customHeight="1" x14ac:dyDescent="0.3">
      <c r="A37" s="28">
        <v>26</v>
      </c>
      <c r="B37" s="30" t="s">
        <v>455</v>
      </c>
      <c r="C37" s="30" t="s">
        <v>456</v>
      </c>
      <c r="D37" s="30" t="s">
        <v>51</v>
      </c>
      <c r="E37" s="31">
        <v>0.01</v>
      </c>
      <c r="F37" s="30" t="s">
        <v>27</v>
      </c>
      <c r="G37" s="30" t="s">
        <v>220</v>
      </c>
      <c r="H37" s="30" t="s">
        <v>29</v>
      </c>
    </row>
    <row r="38" spans="1:8" ht="95.25" customHeight="1" x14ac:dyDescent="0.3">
      <c r="A38" s="28">
        <v>27</v>
      </c>
      <c r="B38" s="30" t="s">
        <v>457</v>
      </c>
      <c r="C38" s="30" t="s">
        <v>458</v>
      </c>
      <c r="D38" s="30" t="s">
        <v>51</v>
      </c>
      <c r="E38" s="31">
        <v>0.03</v>
      </c>
      <c r="F38" s="30" t="s">
        <v>27</v>
      </c>
      <c r="G38" s="30" t="s">
        <v>459</v>
      </c>
      <c r="H38" s="30" t="s">
        <v>29</v>
      </c>
    </row>
    <row r="39" spans="1:8" ht="95.25" customHeight="1" x14ac:dyDescent="0.3">
      <c r="A39" s="28">
        <v>28</v>
      </c>
      <c r="B39" s="30" t="s">
        <v>460</v>
      </c>
      <c r="C39" s="30" t="s">
        <v>461</v>
      </c>
      <c r="D39" s="30" t="s">
        <v>172</v>
      </c>
      <c r="E39" s="31">
        <v>0.02</v>
      </c>
      <c r="F39" s="30" t="s">
        <v>27</v>
      </c>
      <c r="G39" s="30" t="s">
        <v>350</v>
      </c>
      <c r="H39" s="30" t="s">
        <v>29</v>
      </c>
    </row>
    <row r="44" spans="1:8" x14ac:dyDescent="0.3">
      <c r="B44" s="1" t="s">
        <v>81</v>
      </c>
      <c r="C44" s="1" t="s">
        <v>82</v>
      </c>
      <c r="D44" s="1" t="s">
        <v>83</v>
      </c>
      <c r="H44" s="1" t="s">
        <v>84</v>
      </c>
    </row>
  </sheetData>
  <mergeCells count="5">
    <mergeCell ref="A1:B3"/>
    <mergeCell ref="C1:G3"/>
    <mergeCell ref="A4:B4"/>
    <mergeCell ref="C4:G5"/>
    <mergeCell ref="A5:B5"/>
  </mergeCells>
  <pageMargins left="0.7" right="0.7" top="0.75" bottom="0.75" header="0.3" footer="0.3"/>
  <pageSetup paperSize="9" orientation="portrait" verticalDpi="0"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DE6E9-3E01-4F1A-B340-C679889293B8}">
  <dimension ref="A1:H36"/>
  <sheetViews>
    <sheetView showGridLines="0" topLeftCell="B1" workbookViewId="0">
      <selection activeCell="B12" sqref="B12"/>
    </sheetView>
  </sheetViews>
  <sheetFormatPr baseColWidth="10" defaultColWidth="11.44140625" defaultRowHeight="14.4" x14ac:dyDescent="0.3"/>
  <cols>
    <col min="1" max="1" width="9.6640625" style="1" bestFit="1" customWidth="1"/>
    <col min="2" max="2" width="59.6640625" style="1" customWidth="1"/>
    <col min="3" max="3" width="72.88671875" style="1" customWidth="1"/>
    <col min="4" max="4" width="11.5546875" style="1" bestFit="1" customWidth="1"/>
    <col min="5" max="5" width="9.88671875" style="6" bestFit="1" customWidth="1"/>
    <col min="6" max="6" width="11.5546875" style="1" customWidth="1"/>
    <col min="7" max="7" width="17.6640625" style="1" customWidth="1"/>
    <col min="8" max="8" width="44" style="1" customWidth="1"/>
  </cols>
  <sheetData>
    <row r="1" spans="1:8" ht="14.4" customHeight="1" x14ac:dyDescent="0.3">
      <c r="A1" s="95"/>
      <c r="B1" s="96"/>
      <c r="C1" s="101" t="s">
        <v>0</v>
      </c>
      <c r="D1" s="101"/>
      <c r="E1" s="101"/>
      <c r="F1" s="101"/>
      <c r="G1" s="101"/>
      <c r="H1" s="9" t="s">
        <v>1</v>
      </c>
    </row>
    <row r="2" spans="1:8" ht="14.4" customHeight="1" x14ac:dyDescent="0.3">
      <c r="A2" s="97"/>
      <c r="B2" s="98"/>
      <c r="C2" s="101"/>
      <c r="D2" s="101"/>
      <c r="E2" s="101"/>
      <c r="F2" s="101"/>
      <c r="G2" s="101"/>
      <c r="H2" s="9" t="s">
        <v>2</v>
      </c>
    </row>
    <row r="3" spans="1:8" ht="14.4" customHeight="1" x14ac:dyDescent="0.3">
      <c r="A3" s="99"/>
      <c r="B3" s="100"/>
      <c r="C3" s="101"/>
      <c r="D3" s="101"/>
      <c r="E3" s="101"/>
      <c r="F3" s="101"/>
      <c r="G3" s="101"/>
      <c r="H3" s="9" t="s">
        <v>3</v>
      </c>
    </row>
    <row r="4" spans="1:8" ht="14.4" customHeight="1" x14ac:dyDescent="0.3">
      <c r="A4" s="102" t="s">
        <v>4</v>
      </c>
      <c r="B4" s="102"/>
      <c r="C4" s="102" t="s">
        <v>5</v>
      </c>
      <c r="D4" s="102"/>
      <c r="E4" s="102"/>
      <c r="F4" s="102"/>
      <c r="G4" s="102"/>
      <c r="H4" s="9" t="s">
        <v>6</v>
      </c>
    </row>
    <row r="5" spans="1:8" ht="14.4" customHeight="1" x14ac:dyDescent="0.3">
      <c r="A5" s="102" t="s">
        <v>7</v>
      </c>
      <c r="B5" s="102"/>
      <c r="C5" s="102"/>
      <c r="D5" s="102"/>
      <c r="E5" s="102"/>
      <c r="F5" s="102"/>
      <c r="G5" s="102"/>
      <c r="H5" s="9" t="s">
        <v>8</v>
      </c>
    </row>
    <row r="7" spans="1:8" x14ac:dyDescent="0.3">
      <c r="A7" s="7" t="s">
        <v>9</v>
      </c>
      <c r="B7" s="10" t="s">
        <v>10</v>
      </c>
      <c r="C7" s="3"/>
      <c r="D7" s="3"/>
      <c r="E7" s="4"/>
      <c r="F7" s="3"/>
      <c r="G7" s="3"/>
      <c r="H7" s="3"/>
    </row>
    <row r="8" spans="1:8" x14ac:dyDescent="0.3">
      <c r="A8" s="7" t="s">
        <v>11</v>
      </c>
      <c r="B8" s="10" t="s">
        <v>399</v>
      </c>
      <c r="C8" s="3" t="s">
        <v>462</v>
      </c>
      <c r="D8" s="3"/>
      <c r="E8" s="4">
        <f>SUM(E12:E31)</f>
        <v>1.0000000000000004</v>
      </c>
      <c r="F8" s="3"/>
      <c r="G8" s="3"/>
      <c r="H8" s="3"/>
    </row>
    <row r="9" spans="1:8" x14ac:dyDescent="0.3">
      <c r="A9" s="7" t="s">
        <v>14</v>
      </c>
      <c r="B9" s="10" t="s">
        <v>86</v>
      </c>
      <c r="C9" s="3"/>
      <c r="D9" s="3"/>
      <c r="E9" s="4"/>
      <c r="F9" s="3"/>
      <c r="G9" s="3"/>
      <c r="H9" s="3"/>
    </row>
    <row r="10" spans="1:8" ht="9.6" customHeight="1" x14ac:dyDescent="0.3">
      <c r="A10" s="3"/>
      <c r="B10" s="3"/>
      <c r="C10" s="3"/>
      <c r="D10" s="3"/>
      <c r="E10" s="4"/>
      <c r="F10" s="3"/>
      <c r="G10" s="3"/>
      <c r="H10" s="3"/>
    </row>
    <row r="11" spans="1:8" s="1" customFormat="1" ht="27.6" customHeight="1" x14ac:dyDescent="0.3">
      <c r="A11" s="7" t="s">
        <v>16</v>
      </c>
      <c r="B11" s="7" t="s">
        <v>17</v>
      </c>
      <c r="C11" s="7" t="s">
        <v>18</v>
      </c>
      <c r="D11" s="7" t="s">
        <v>19</v>
      </c>
      <c r="E11" s="8" t="s">
        <v>20</v>
      </c>
      <c r="F11" s="7" t="s">
        <v>21</v>
      </c>
      <c r="G11" s="7" t="s">
        <v>22</v>
      </c>
      <c r="H11" s="7" t="s">
        <v>23</v>
      </c>
    </row>
    <row r="12" spans="1:8" ht="70.5" customHeight="1" x14ac:dyDescent="0.3">
      <c r="A12" s="2">
        <v>1</v>
      </c>
      <c r="B12" s="2" t="s">
        <v>463</v>
      </c>
      <c r="C12" s="12" t="s">
        <v>464</v>
      </c>
      <c r="D12" s="2" t="s">
        <v>51</v>
      </c>
      <c r="E12" s="5">
        <v>0.2</v>
      </c>
      <c r="F12" s="2" t="s">
        <v>27</v>
      </c>
      <c r="G12" s="2" t="s">
        <v>185</v>
      </c>
      <c r="H12" s="2" t="s">
        <v>29</v>
      </c>
    </row>
    <row r="13" spans="1:8" ht="127.5" customHeight="1" x14ac:dyDescent="0.3">
      <c r="A13" s="2">
        <v>2</v>
      </c>
      <c r="B13" s="2" t="s">
        <v>465</v>
      </c>
      <c r="C13" s="12" t="s">
        <v>466</v>
      </c>
      <c r="D13" s="2" t="s">
        <v>51</v>
      </c>
      <c r="E13" s="5">
        <v>0.08</v>
      </c>
      <c r="F13" s="2" t="s">
        <v>27</v>
      </c>
      <c r="G13" s="2" t="s">
        <v>467</v>
      </c>
      <c r="H13" s="2" t="s">
        <v>29</v>
      </c>
    </row>
    <row r="14" spans="1:8" ht="43.2" x14ac:dyDescent="0.3">
      <c r="A14" s="2">
        <v>3</v>
      </c>
      <c r="B14" s="2" t="s">
        <v>468</v>
      </c>
      <c r="C14" s="12" t="s">
        <v>469</v>
      </c>
      <c r="D14" s="2" t="s">
        <v>51</v>
      </c>
      <c r="E14" s="5">
        <v>0.02</v>
      </c>
      <c r="F14" s="2" t="s">
        <v>27</v>
      </c>
      <c r="G14" s="2" t="s">
        <v>467</v>
      </c>
      <c r="H14" s="2" t="s">
        <v>29</v>
      </c>
    </row>
    <row r="15" spans="1:8" ht="51" customHeight="1" x14ac:dyDescent="0.3">
      <c r="A15" s="2">
        <v>4</v>
      </c>
      <c r="B15" s="2" t="s">
        <v>470</v>
      </c>
      <c r="C15" s="12" t="s">
        <v>471</v>
      </c>
      <c r="D15" s="2" t="s">
        <v>51</v>
      </c>
      <c r="E15" s="5">
        <v>0.01</v>
      </c>
      <c r="F15" s="2" t="s">
        <v>27</v>
      </c>
      <c r="G15" s="2" t="s">
        <v>467</v>
      </c>
      <c r="H15" s="2" t="s">
        <v>29</v>
      </c>
    </row>
    <row r="16" spans="1:8" ht="47.25" customHeight="1" x14ac:dyDescent="0.3">
      <c r="A16" s="2">
        <v>5</v>
      </c>
      <c r="B16" s="2" t="s">
        <v>472</v>
      </c>
      <c r="C16" s="12" t="s">
        <v>473</v>
      </c>
      <c r="D16" s="2" t="s">
        <v>51</v>
      </c>
      <c r="E16" s="5">
        <v>0.03</v>
      </c>
      <c r="F16" s="2" t="s">
        <v>27</v>
      </c>
      <c r="G16" s="2" t="s">
        <v>467</v>
      </c>
      <c r="H16" s="2" t="s">
        <v>29</v>
      </c>
    </row>
    <row r="17" spans="1:8" ht="58.5" customHeight="1" x14ac:dyDescent="0.3">
      <c r="A17" s="2">
        <v>6</v>
      </c>
      <c r="B17" s="2" t="s">
        <v>474</v>
      </c>
      <c r="C17" s="12" t="s">
        <v>475</v>
      </c>
      <c r="D17" s="2" t="s">
        <v>51</v>
      </c>
      <c r="E17" s="5">
        <v>0.01</v>
      </c>
      <c r="F17" s="2" t="s">
        <v>27</v>
      </c>
      <c r="G17" s="2" t="s">
        <v>467</v>
      </c>
      <c r="H17" s="2" t="s">
        <v>29</v>
      </c>
    </row>
    <row r="18" spans="1:8" ht="54.75" customHeight="1" x14ac:dyDescent="0.3">
      <c r="A18" s="2">
        <v>7</v>
      </c>
      <c r="B18" s="2" t="s">
        <v>476</v>
      </c>
      <c r="C18" s="12" t="s">
        <v>477</v>
      </c>
      <c r="D18" s="2" t="s">
        <v>51</v>
      </c>
      <c r="E18" s="5">
        <v>0.15</v>
      </c>
      <c r="F18" s="2" t="s">
        <v>27</v>
      </c>
      <c r="G18" s="2" t="s">
        <v>350</v>
      </c>
      <c r="H18" s="2" t="s">
        <v>29</v>
      </c>
    </row>
    <row r="19" spans="1:8" ht="51.75" customHeight="1" x14ac:dyDescent="0.3">
      <c r="A19" s="2">
        <v>8</v>
      </c>
      <c r="B19" s="2" t="s">
        <v>478</v>
      </c>
      <c r="C19" s="12" t="s">
        <v>479</v>
      </c>
      <c r="D19" s="2" t="s">
        <v>51</v>
      </c>
      <c r="E19" s="5">
        <v>0.12</v>
      </c>
      <c r="F19" s="2" t="s">
        <v>27</v>
      </c>
      <c r="G19" s="2" t="s">
        <v>350</v>
      </c>
      <c r="H19" s="2" t="s">
        <v>29</v>
      </c>
    </row>
    <row r="20" spans="1:8" ht="46.5" customHeight="1" x14ac:dyDescent="0.3">
      <c r="A20" s="2">
        <v>9</v>
      </c>
      <c r="B20" s="2" t="s">
        <v>480</v>
      </c>
      <c r="C20" s="12" t="s">
        <v>481</v>
      </c>
      <c r="D20" s="2" t="s">
        <v>89</v>
      </c>
      <c r="E20" s="5">
        <v>0.04</v>
      </c>
      <c r="F20" s="2" t="s">
        <v>27</v>
      </c>
      <c r="G20" s="2" t="s">
        <v>350</v>
      </c>
      <c r="H20" s="2" t="s">
        <v>29</v>
      </c>
    </row>
    <row r="21" spans="1:8" ht="49.5" customHeight="1" x14ac:dyDescent="0.3">
      <c r="A21" s="2">
        <v>10</v>
      </c>
      <c r="B21" s="2" t="s">
        <v>482</v>
      </c>
      <c r="C21" s="12" t="s">
        <v>483</v>
      </c>
      <c r="D21" s="2" t="s">
        <v>51</v>
      </c>
      <c r="E21" s="5">
        <v>0.01</v>
      </c>
      <c r="F21" s="2" t="s">
        <v>27</v>
      </c>
      <c r="G21" s="2" t="s">
        <v>185</v>
      </c>
      <c r="H21" s="2" t="s">
        <v>29</v>
      </c>
    </row>
    <row r="22" spans="1:8" ht="52.5" customHeight="1" x14ac:dyDescent="0.3">
      <c r="A22" s="2">
        <v>11</v>
      </c>
      <c r="B22" s="2" t="s">
        <v>484</v>
      </c>
      <c r="C22" s="12" t="s">
        <v>485</v>
      </c>
      <c r="D22" s="2" t="s">
        <v>51</v>
      </c>
      <c r="E22" s="5">
        <v>0.05</v>
      </c>
      <c r="F22" s="2" t="s">
        <v>27</v>
      </c>
      <c r="G22" s="2" t="s">
        <v>467</v>
      </c>
      <c r="H22" s="2" t="s">
        <v>29</v>
      </c>
    </row>
    <row r="23" spans="1:8" ht="38.25" customHeight="1" x14ac:dyDescent="0.3">
      <c r="A23" s="2">
        <v>12</v>
      </c>
      <c r="B23" s="2" t="s">
        <v>486</v>
      </c>
      <c r="C23" s="12" t="s">
        <v>487</v>
      </c>
      <c r="D23" s="2" t="s">
        <v>51</v>
      </c>
      <c r="E23" s="5">
        <v>0.06</v>
      </c>
      <c r="F23" s="2" t="s">
        <v>27</v>
      </c>
      <c r="G23" s="2" t="s">
        <v>467</v>
      </c>
      <c r="H23" s="2" t="s">
        <v>29</v>
      </c>
    </row>
    <row r="24" spans="1:8" ht="36" customHeight="1" x14ac:dyDescent="0.3">
      <c r="A24" s="2">
        <v>13</v>
      </c>
      <c r="B24" s="2" t="s">
        <v>488</v>
      </c>
      <c r="C24" s="12" t="s">
        <v>489</v>
      </c>
      <c r="D24" s="2" t="s">
        <v>51</v>
      </c>
      <c r="E24" s="5">
        <v>0.02</v>
      </c>
      <c r="F24" s="2" t="s">
        <v>27</v>
      </c>
      <c r="G24" s="2" t="s">
        <v>185</v>
      </c>
      <c r="H24" s="2" t="s">
        <v>29</v>
      </c>
    </row>
    <row r="25" spans="1:8" ht="60" customHeight="1" x14ac:dyDescent="0.3">
      <c r="A25" s="2">
        <v>14</v>
      </c>
      <c r="B25" s="2" t="s">
        <v>490</v>
      </c>
      <c r="C25" s="12" t="s">
        <v>491</v>
      </c>
      <c r="D25" s="2" t="s">
        <v>26</v>
      </c>
      <c r="E25" s="5">
        <v>0.01</v>
      </c>
      <c r="F25" s="2" t="s">
        <v>27</v>
      </c>
      <c r="G25" s="2" t="s">
        <v>185</v>
      </c>
      <c r="H25" s="2" t="s">
        <v>29</v>
      </c>
    </row>
    <row r="26" spans="1:8" ht="52.5" customHeight="1" x14ac:dyDescent="0.3">
      <c r="A26" s="2">
        <v>15</v>
      </c>
      <c r="B26" s="2" t="s">
        <v>492</v>
      </c>
      <c r="C26" s="12" t="s">
        <v>493</v>
      </c>
      <c r="D26" s="2" t="s">
        <v>26</v>
      </c>
      <c r="E26" s="5">
        <v>0.05</v>
      </c>
      <c r="F26" s="2" t="s">
        <v>27</v>
      </c>
      <c r="G26" s="2" t="s">
        <v>467</v>
      </c>
      <c r="H26" s="2" t="s">
        <v>29</v>
      </c>
    </row>
    <row r="27" spans="1:8" ht="46.5" customHeight="1" x14ac:dyDescent="0.3">
      <c r="A27" s="2">
        <v>16</v>
      </c>
      <c r="B27" s="2" t="s">
        <v>494</v>
      </c>
      <c r="C27" s="12" t="s">
        <v>495</v>
      </c>
      <c r="D27" s="2" t="s">
        <v>89</v>
      </c>
      <c r="E27" s="5">
        <v>0.02</v>
      </c>
      <c r="F27" s="2" t="s">
        <v>27</v>
      </c>
      <c r="G27" s="2" t="s">
        <v>185</v>
      </c>
      <c r="H27" s="2" t="s">
        <v>29</v>
      </c>
    </row>
    <row r="28" spans="1:8" ht="38.25" customHeight="1" x14ac:dyDescent="0.3">
      <c r="A28" s="2">
        <v>17</v>
      </c>
      <c r="B28" s="2" t="s">
        <v>496</v>
      </c>
      <c r="C28" s="12" t="s">
        <v>497</v>
      </c>
      <c r="D28" s="2" t="s">
        <v>89</v>
      </c>
      <c r="E28" s="5">
        <v>0.02</v>
      </c>
      <c r="F28" s="2" t="s">
        <v>27</v>
      </c>
      <c r="G28" s="2" t="s">
        <v>185</v>
      </c>
      <c r="H28" s="2" t="s">
        <v>29</v>
      </c>
    </row>
    <row r="29" spans="1:8" ht="34.5" customHeight="1" x14ac:dyDescent="0.3">
      <c r="A29" s="2">
        <v>18</v>
      </c>
      <c r="B29" s="2" t="s">
        <v>498</v>
      </c>
      <c r="C29" s="12" t="s">
        <v>499</v>
      </c>
      <c r="D29" s="2" t="s">
        <v>51</v>
      </c>
      <c r="E29" s="5">
        <v>0.05</v>
      </c>
      <c r="F29" s="2" t="s">
        <v>27</v>
      </c>
      <c r="G29" s="2" t="s">
        <v>185</v>
      </c>
      <c r="H29" s="2" t="s">
        <v>29</v>
      </c>
    </row>
    <row r="30" spans="1:8" ht="37.5" customHeight="1" x14ac:dyDescent="0.3">
      <c r="A30" s="2">
        <v>19</v>
      </c>
      <c r="B30" s="2" t="s">
        <v>500</v>
      </c>
      <c r="C30" s="12" t="s">
        <v>501</v>
      </c>
      <c r="D30" s="2" t="s">
        <v>26</v>
      </c>
      <c r="E30" s="5">
        <v>0.03</v>
      </c>
      <c r="F30" s="2" t="s">
        <v>27</v>
      </c>
      <c r="G30" s="2" t="s">
        <v>396</v>
      </c>
      <c r="H30" s="2" t="s">
        <v>396</v>
      </c>
    </row>
    <row r="31" spans="1:8" ht="41.25" customHeight="1" x14ac:dyDescent="0.3">
      <c r="A31" s="2">
        <v>20</v>
      </c>
      <c r="B31" s="2" t="s">
        <v>502</v>
      </c>
      <c r="C31" s="12" t="s">
        <v>503</v>
      </c>
      <c r="D31" s="2" t="s">
        <v>51</v>
      </c>
      <c r="E31" s="5">
        <v>0.02</v>
      </c>
      <c r="F31" s="2" t="s">
        <v>27</v>
      </c>
      <c r="G31" s="2" t="s">
        <v>467</v>
      </c>
      <c r="H31" s="2" t="s">
        <v>29</v>
      </c>
    </row>
    <row r="36" spans="2:8" x14ac:dyDescent="0.3">
      <c r="B36" s="1" t="s">
        <v>81</v>
      </c>
      <c r="C36" s="1" t="s">
        <v>82</v>
      </c>
      <c r="D36" s="1" t="s">
        <v>83</v>
      </c>
      <c r="H36" s="1" t="s">
        <v>84</v>
      </c>
    </row>
  </sheetData>
  <mergeCells count="5">
    <mergeCell ref="A1:B3"/>
    <mergeCell ref="C1:G3"/>
    <mergeCell ref="A4:B4"/>
    <mergeCell ref="C4:G5"/>
    <mergeCell ref="A5:B5"/>
  </mergeCells>
  <pageMargins left="0.7" right="0.7" top="0.75" bottom="0.75" header="0.3" footer="0.3"/>
  <pageSetup paperSize="9" orientation="portrait" verticalDpi="0"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EFF3569E-CE2E-4569-83BB-9599C4914FC7}">
          <x14:formula1>
            <xm:f>Hoja1!$A$1:$A$8</xm:f>
          </x14:formula1>
          <xm:sqref>D12:D31</xm:sqref>
        </x14:dataValidation>
        <x14:dataValidation type="list" allowBlank="1" showInputMessage="1" showErrorMessage="1" xr:uid="{B6EA62DF-CD65-4F60-BF0C-C54251338A7C}">
          <x14:formula1>
            <xm:f>Hoja1!$B$1:$B$14</xm:f>
          </x14:formula1>
          <xm:sqref>F12:F31</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F71A7-ABE5-416F-9D6E-D16A1DC210B1}">
  <dimension ref="A1:H49"/>
  <sheetViews>
    <sheetView showGridLines="0" workbookViewId="0">
      <selection activeCell="E44" sqref="E44"/>
    </sheetView>
  </sheetViews>
  <sheetFormatPr baseColWidth="10" defaultColWidth="11.44140625" defaultRowHeight="14.4" x14ac:dyDescent="0.3"/>
  <cols>
    <col min="1" max="1" width="9.6640625" style="1" bestFit="1" customWidth="1"/>
    <col min="2" max="3" width="52.6640625" style="1" customWidth="1"/>
    <col min="4" max="4" width="11.5546875" style="87" bestFit="1" customWidth="1"/>
    <col min="5" max="5" width="9.88671875" style="6" bestFit="1" customWidth="1"/>
    <col min="6" max="6" width="11.5546875" style="1" customWidth="1"/>
    <col min="7" max="7" width="17.6640625" style="1" customWidth="1"/>
    <col min="8" max="8" width="44" style="1" customWidth="1"/>
  </cols>
  <sheetData>
    <row r="1" spans="1:8" ht="14.4" customHeight="1" x14ac:dyDescent="0.3">
      <c r="A1" s="95"/>
      <c r="B1" s="96"/>
      <c r="C1" s="101" t="s">
        <v>0</v>
      </c>
      <c r="D1" s="101"/>
      <c r="E1" s="101"/>
      <c r="F1" s="101"/>
      <c r="G1" s="101"/>
      <c r="H1" s="9" t="s">
        <v>1</v>
      </c>
    </row>
    <row r="2" spans="1:8" ht="14.4" customHeight="1" x14ac:dyDescent="0.3">
      <c r="A2" s="97"/>
      <c r="B2" s="98"/>
      <c r="C2" s="101"/>
      <c r="D2" s="101"/>
      <c r="E2" s="101"/>
      <c r="F2" s="101"/>
      <c r="G2" s="101"/>
      <c r="H2" s="9" t="s">
        <v>2</v>
      </c>
    </row>
    <row r="3" spans="1:8" ht="14.4" customHeight="1" x14ac:dyDescent="0.3">
      <c r="A3" s="99"/>
      <c r="B3" s="100"/>
      <c r="C3" s="101"/>
      <c r="D3" s="101"/>
      <c r="E3" s="101"/>
      <c r="F3" s="101"/>
      <c r="G3" s="101"/>
      <c r="H3" s="9" t="s">
        <v>3</v>
      </c>
    </row>
    <row r="4" spans="1:8" ht="14.4" customHeight="1" x14ac:dyDescent="0.3">
      <c r="A4" s="102" t="s">
        <v>4</v>
      </c>
      <c r="B4" s="102"/>
      <c r="C4" s="102" t="s">
        <v>5</v>
      </c>
      <c r="D4" s="102"/>
      <c r="E4" s="102"/>
      <c r="F4" s="102"/>
      <c r="G4" s="102"/>
      <c r="H4" s="9" t="s">
        <v>6</v>
      </c>
    </row>
    <row r="5" spans="1:8" ht="14.4" customHeight="1" x14ac:dyDescent="0.3">
      <c r="A5" s="102" t="s">
        <v>7</v>
      </c>
      <c r="B5" s="102"/>
      <c r="C5" s="102"/>
      <c r="D5" s="102"/>
      <c r="E5" s="102"/>
      <c r="F5" s="102"/>
      <c r="G5" s="102"/>
      <c r="H5" s="9" t="s">
        <v>8</v>
      </c>
    </row>
    <row r="7" spans="1:8" x14ac:dyDescent="0.3">
      <c r="A7" s="7" t="s">
        <v>9</v>
      </c>
      <c r="B7" s="10" t="s">
        <v>10</v>
      </c>
      <c r="C7" s="3"/>
      <c r="D7" s="85"/>
      <c r="E7" s="4"/>
      <c r="F7" s="3"/>
      <c r="G7" s="3"/>
      <c r="H7" s="3"/>
    </row>
    <row r="8" spans="1:8" x14ac:dyDescent="0.3">
      <c r="A8" s="7" t="s">
        <v>11</v>
      </c>
      <c r="B8" s="10" t="s">
        <v>504</v>
      </c>
      <c r="C8" s="3" t="s">
        <v>505</v>
      </c>
      <c r="D8" s="85"/>
      <c r="E8" s="4">
        <f>SUM(E12:E44)</f>
        <v>1.2100000000000006</v>
      </c>
      <c r="F8" s="3"/>
      <c r="G8" s="3"/>
      <c r="H8" s="3"/>
    </row>
    <row r="9" spans="1:8" x14ac:dyDescent="0.3">
      <c r="A9" s="7" t="s">
        <v>14</v>
      </c>
      <c r="B9" s="10" t="s">
        <v>13</v>
      </c>
      <c r="C9" s="3"/>
      <c r="D9" s="85"/>
      <c r="E9" s="4"/>
      <c r="F9" s="3"/>
      <c r="G9" s="3"/>
      <c r="H9" s="3"/>
    </row>
    <row r="10" spans="1:8" ht="9.6" customHeight="1" x14ac:dyDescent="0.3">
      <c r="A10" s="3"/>
      <c r="B10" s="3"/>
      <c r="C10" s="3"/>
      <c r="D10" s="85"/>
      <c r="E10" s="4"/>
      <c r="F10" s="3"/>
      <c r="G10" s="3"/>
      <c r="H10" s="3"/>
    </row>
    <row r="11" spans="1:8" s="1" customFormat="1" ht="27.6" customHeight="1" x14ac:dyDescent="0.3">
      <c r="A11" s="7" t="s">
        <v>16</v>
      </c>
      <c r="B11" s="7" t="s">
        <v>17</v>
      </c>
      <c r="C11" s="7" t="s">
        <v>18</v>
      </c>
      <c r="D11" s="86" t="s">
        <v>19</v>
      </c>
      <c r="E11" s="8" t="s">
        <v>20</v>
      </c>
      <c r="F11" s="7" t="s">
        <v>21</v>
      </c>
      <c r="G11" s="7" t="s">
        <v>22</v>
      </c>
      <c r="H11" s="7" t="s">
        <v>23</v>
      </c>
    </row>
    <row r="12" spans="1:8" ht="33.75" customHeight="1" x14ac:dyDescent="0.3">
      <c r="A12" s="25">
        <v>1</v>
      </c>
      <c r="B12" s="43" t="s">
        <v>506</v>
      </c>
      <c r="C12" s="43" t="s">
        <v>507</v>
      </c>
      <c r="D12" s="25" t="s">
        <v>89</v>
      </c>
      <c r="E12" s="84">
        <v>0.02</v>
      </c>
      <c r="F12" s="43" t="s">
        <v>27</v>
      </c>
      <c r="G12" s="43" t="s">
        <v>508</v>
      </c>
      <c r="H12" s="43" t="s">
        <v>29</v>
      </c>
    </row>
    <row r="13" spans="1:8" ht="33.75" customHeight="1" x14ac:dyDescent="0.3">
      <c r="A13" s="25">
        <v>2</v>
      </c>
      <c r="B13" s="43" t="s">
        <v>509</v>
      </c>
      <c r="C13" s="43" t="s">
        <v>510</v>
      </c>
      <c r="D13" s="25" t="s">
        <v>51</v>
      </c>
      <c r="E13" s="84">
        <v>0.03</v>
      </c>
      <c r="F13" s="43" t="s">
        <v>27</v>
      </c>
      <c r="G13" s="43" t="s">
        <v>511</v>
      </c>
      <c r="H13" s="43" t="s">
        <v>29</v>
      </c>
    </row>
    <row r="14" spans="1:8" ht="33.75" customHeight="1" x14ac:dyDescent="0.3">
      <c r="A14" s="25">
        <v>3</v>
      </c>
      <c r="B14" s="43" t="s">
        <v>512</v>
      </c>
      <c r="C14" s="43" t="s">
        <v>513</v>
      </c>
      <c r="D14" s="25" t="s">
        <v>51</v>
      </c>
      <c r="E14" s="84">
        <v>0.02</v>
      </c>
      <c r="F14" s="43" t="s">
        <v>27</v>
      </c>
      <c r="G14" s="43" t="s">
        <v>511</v>
      </c>
      <c r="H14" s="43" t="s">
        <v>29</v>
      </c>
    </row>
    <row r="15" spans="1:8" ht="33.75" customHeight="1" x14ac:dyDescent="0.3">
      <c r="A15" s="25">
        <v>4</v>
      </c>
      <c r="B15" s="43" t="s">
        <v>514</v>
      </c>
      <c r="C15" s="43" t="s">
        <v>515</v>
      </c>
      <c r="D15" s="25" t="s">
        <v>51</v>
      </c>
      <c r="E15" s="84">
        <v>0.03</v>
      </c>
      <c r="F15" s="43" t="s">
        <v>27</v>
      </c>
      <c r="G15" s="43" t="s">
        <v>511</v>
      </c>
      <c r="H15" s="43" t="s">
        <v>29</v>
      </c>
    </row>
    <row r="16" spans="1:8" ht="33.75" customHeight="1" x14ac:dyDescent="0.3">
      <c r="A16" s="25">
        <v>5</v>
      </c>
      <c r="B16" s="43" t="s">
        <v>516</v>
      </c>
      <c r="C16" s="43" t="s">
        <v>517</v>
      </c>
      <c r="D16" s="25" t="s">
        <v>51</v>
      </c>
      <c r="E16" s="84">
        <v>0.05</v>
      </c>
      <c r="F16" s="43" t="s">
        <v>27</v>
      </c>
      <c r="G16" s="43" t="s">
        <v>511</v>
      </c>
      <c r="H16" s="43" t="s">
        <v>29</v>
      </c>
    </row>
    <row r="17" spans="1:8" ht="27.6" customHeight="1" x14ac:dyDescent="0.3">
      <c r="A17" s="25">
        <v>6</v>
      </c>
      <c r="B17" s="43" t="s">
        <v>518</v>
      </c>
      <c r="C17" s="43" t="s">
        <v>519</v>
      </c>
      <c r="D17" s="25" t="s">
        <v>26</v>
      </c>
      <c r="E17" s="84">
        <v>0.01</v>
      </c>
      <c r="F17" s="43" t="s">
        <v>27</v>
      </c>
      <c r="G17" s="43" t="s">
        <v>511</v>
      </c>
      <c r="H17" s="43" t="s">
        <v>29</v>
      </c>
    </row>
    <row r="18" spans="1:8" ht="27.6" customHeight="1" x14ac:dyDescent="0.3">
      <c r="A18" s="25">
        <v>7</v>
      </c>
      <c r="B18" s="43" t="s">
        <v>520</v>
      </c>
      <c r="C18" s="43" t="s">
        <v>521</v>
      </c>
      <c r="D18" s="25" t="s">
        <v>26</v>
      </c>
      <c r="E18" s="84">
        <v>0.03</v>
      </c>
      <c r="F18" s="43" t="s">
        <v>27</v>
      </c>
      <c r="G18" s="43" t="s">
        <v>511</v>
      </c>
      <c r="H18" s="43" t="s">
        <v>29</v>
      </c>
    </row>
    <row r="19" spans="1:8" ht="27.6" customHeight="1" x14ac:dyDescent="0.3">
      <c r="A19" s="25">
        <v>8</v>
      </c>
      <c r="B19" s="43" t="s">
        <v>522</v>
      </c>
      <c r="C19" s="43" t="s">
        <v>523</v>
      </c>
      <c r="D19" s="25" t="s">
        <v>26</v>
      </c>
      <c r="E19" s="84">
        <v>0.06</v>
      </c>
      <c r="F19" s="43" t="s">
        <v>27</v>
      </c>
      <c r="G19" s="43" t="s">
        <v>511</v>
      </c>
      <c r="H19" s="43" t="s">
        <v>29</v>
      </c>
    </row>
    <row r="20" spans="1:8" ht="27.6" customHeight="1" x14ac:dyDescent="0.3">
      <c r="A20" s="25">
        <v>9</v>
      </c>
      <c r="B20" s="43" t="s">
        <v>524</v>
      </c>
      <c r="C20" s="43" t="s">
        <v>523</v>
      </c>
      <c r="D20" s="25" t="s">
        <v>26</v>
      </c>
      <c r="E20" s="84">
        <v>0.03</v>
      </c>
      <c r="F20" s="43" t="s">
        <v>27</v>
      </c>
      <c r="G20" s="43" t="s">
        <v>511</v>
      </c>
      <c r="H20" s="43" t="s">
        <v>29</v>
      </c>
    </row>
    <row r="21" spans="1:8" ht="27.6" customHeight="1" x14ac:dyDescent="0.3">
      <c r="A21" s="25">
        <v>10</v>
      </c>
      <c r="B21" s="43" t="s">
        <v>525</v>
      </c>
      <c r="C21" s="43" t="s">
        <v>526</v>
      </c>
      <c r="D21" s="25" t="s">
        <v>26</v>
      </c>
      <c r="E21" s="84">
        <v>0.03</v>
      </c>
      <c r="F21" s="43" t="s">
        <v>27</v>
      </c>
      <c r="G21" s="43" t="s">
        <v>511</v>
      </c>
      <c r="H21" s="43" t="s">
        <v>29</v>
      </c>
    </row>
    <row r="22" spans="1:8" ht="27.6" customHeight="1" x14ac:dyDescent="0.3">
      <c r="A22" s="25">
        <v>11</v>
      </c>
      <c r="B22" s="43" t="s">
        <v>527</v>
      </c>
      <c r="C22" s="43" t="s">
        <v>528</v>
      </c>
      <c r="D22" s="25" t="s">
        <v>26</v>
      </c>
      <c r="E22" s="84">
        <v>0.03</v>
      </c>
      <c r="F22" s="43" t="s">
        <v>27</v>
      </c>
      <c r="G22" s="43" t="s">
        <v>511</v>
      </c>
      <c r="H22" s="43" t="s">
        <v>29</v>
      </c>
    </row>
    <row r="23" spans="1:8" ht="27.6" customHeight="1" x14ac:dyDescent="0.3">
      <c r="A23" s="25">
        <v>12</v>
      </c>
      <c r="B23" s="43" t="s">
        <v>529</v>
      </c>
      <c r="C23" s="43" t="s">
        <v>530</v>
      </c>
      <c r="D23" s="25" t="s">
        <v>26</v>
      </c>
      <c r="E23" s="84">
        <v>0.02</v>
      </c>
      <c r="F23" s="43" t="s">
        <v>27</v>
      </c>
      <c r="G23" s="43" t="s">
        <v>511</v>
      </c>
      <c r="H23" s="43" t="s">
        <v>29</v>
      </c>
    </row>
    <row r="24" spans="1:8" ht="27.6" customHeight="1" x14ac:dyDescent="0.3">
      <c r="A24" s="25">
        <v>13</v>
      </c>
      <c r="B24" s="43" t="s">
        <v>531</v>
      </c>
      <c r="C24" s="43" t="s">
        <v>532</v>
      </c>
      <c r="D24" s="25" t="s">
        <v>26</v>
      </c>
      <c r="E24" s="84">
        <v>0.01</v>
      </c>
      <c r="F24" s="43" t="s">
        <v>27</v>
      </c>
      <c r="G24" s="43" t="s">
        <v>511</v>
      </c>
      <c r="H24" s="43" t="s">
        <v>29</v>
      </c>
    </row>
    <row r="25" spans="1:8" ht="27.6" customHeight="1" x14ac:dyDescent="0.3">
      <c r="A25" s="25">
        <v>14</v>
      </c>
      <c r="B25" s="43" t="s">
        <v>533</v>
      </c>
      <c r="C25" s="43" t="s">
        <v>534</v>
      </c>
      <c r="D25" s="25" t="s">
        <v>26</v>
      </c>
      <c r="E25" s="84">
        <v>0.06</v>
      </c>
      <c r="F25" s="43" t="s">
        <v>27</v>
      </c>
      <c r="G25" s="43" t="s">
        <v>511</v>
      </c>
      <c r="H25" s="43" t="s">
        <v>29</v>
      </c>
    </row>
    <row r="26" spans="1:8" ht="27.6" customHeight="1" x14ac:dyDescent="0.3">
      <c r="A26" s="25">
        <v>15</v>
      </c>
      <c r="B26" s="43" t="s">
        <v>535</v>
      </c>
      <c r="C26" s="43" t="s">
        <v>536</v>
      </c>
      <c r="D26" s="25" t="s">
        <v>26</v>
      </c>
      <c r="E26" s="84">
        <v>0.04</v>
      </c>
      <c r="F26" s="43" t="s">
        <v>27</v>
      </c>
      <c r="G26" s="43" t="s">
        <v>511</v>
      </c>
      <c r="H26" s="43" t="s">
        <v>29</v>
      </c>
    </row>
    <row r="27" spans="1:8" ht="27.6" customHeight="1" x14ac:dyDescent="0.3">
      <c r="A27" s="25">
        <v>16</v>
      </c>
      <c r="B27" s="43" t="s">
        <v>537</v>
      </c>
      <c r="C27" s="43" t="s">
        <v>538</v>
      </c>
      <c r="D27" s="25" t="s">
        <v>26</v>
      </c>
      <c r="E27" s="84">
        <v>0.18</v>
      </c>
      <c r="F27" s="43" t="s">
        <v>27</v>
      </c>
      <c r="G27" s="43" t="s">
        <v>511</v>
      </c>
      <c r="H27" s="43" t="s">
        <v>539</v>
      </c>
    </row>
    <row r="28" spans="1:8" ht="27.6" customHeight="1" x14ac:dyDescent="0.3">
      <c r="A28" s="25">
        <v>17</v>
      </c>
      <c r="B28" s="43" t="s">
        <v>540</v>
      </c>
      <c r="C28" s="43" t="s">
        <v>541</v>
      </c>
      <c r="D28" s="25" t="s">
        <v>26</v>
      </c>
      <c r="E28" s="84">
        <v>0.01</v>
      </c>
      <c r="F28" s="43" t="s">
        <v>27</v>
      </c>
      <c r="G28" s="43" t="s">
        <v>511</v>
      </c>
      <c r="H28" s="43" t="s">
        <v>29</v>
      </c>
    </row>
    <row r="29" spans="1:8" ht="27.6" customHeight="1" x14ac:dyDescent="0.3">
      <c r="A29" s="25">
        <v>18</v>
      </c>
      <c r="B29" s="43" t="s">
        <v>542</v>
      </c>
      <c r="C29" s="43" t="s">
        <v>543</v>
      </c>
      <c r="D29" s="25" t="s">
        <v>26</v>
      </c>
      <c r="E29" s="84">
        <v>0.01</v>
      </c>
      <c r="F29" s="43" t="s">
        <v>27</v>
      </c>
      <c r="G29" s="43" t="s">
        <v>511</v>
      </c>
      <c r="H29" s="43" t="s">
        <v>29</v>
      </c>
    </row>
    <row r="30" spans="1:8" ht="27.6" customHeight="1" x14ac:dyDescent="0.3">
      <c r="A30" s="25">
        <v>19</v>
      </c>
      <c r="B30" s="43" t="s">
        <v>544</v>
      </c>
      <c r="C30" s="43" t="s">
        <v>545</v>
      </c>
      <c r="D30" s="25" t="s">
        <v>26</v>
      </c>
      <c r="E30" s="84">
        <v>0.02</v>
      </c>
      <c r="F30" s="43" t="s">
        <v>27</v>
      </c>
      <c r="G30" s="43" t="s">
        <v>511</v>
      </c>
      <c r="H30" s="43" t="s">
        <v>29</v>
      </c>
    </row>
    <row r="31" spans="1:8" ht="27.6" customHeight="1" x14ac:dyDescent="0.3">
      <c r="A31" s="25">
        <v>20</v>
      </c>
      <c r="B31" s="43" t="s">
        <v>546</v>
      </c>
      <c r="C31" s="43" t="s">
        <v>545</v>
      </c>
      <c r="D31" s="25" t="s">
        <v>26</v>
      </c>
      <c r="E31" s="84">
        <v>0.01</v>
      </c>
      <c r="F31" s="43" t="s">
        <v>27</v>
      </c>
      <c r="G31" s="43" t="s">
        <v>511</v>
      </c>
      <c r="H31" s="43" t="s">
        <v>29</v>
      </c>
    </row>
    <row r="32" spans="1:8" ht="27.6" customHeight="1" x14ac:dyDescent="0.3">
      <c r="A32" s="25">
        <v>21</v>
      </c>
      <c r="B32" s="43" t="s">
        <v>547</v>
      </c>
      <c r="C32" s="43" t="s">
        <v>548</v>
      </c>
      <c r="D32" s="25" t="s">
        <v>26</v>
      </c>
      <c r="E32" s="84">
        <v>0.01</v>
      </c>
      <c r="F32" s="43" t="s">
        <v>27</v>
      </c>
      <c r="G32" s="43" t="s">
        <v>511</v>
      </c>
      <c r="H32" s="43" t="s">
        <v>29</v>
      </c>
    </row>
    <row r="33" spans="1:8" ht="27.6" customHeight="1" x14ac:dyDescent="0.3">
      <c r="A33" s="25">
        <v>22</v>
      </c>
      <c r="B33" s="43" t="s">
        <v>549</v>
      </c>
      <c r="C33" s="43" t="s">
        <v>550</v>
      </c>
      <c r="D33" s="25" t="s">
        <v>26</v>
      </c>
      <c r="E33" s="84">
        <v>0.04</v>
      </c>
      <c r="F33" s="43" t="s">
        <v>27</v>
      </c>
      <c r="G33" s="43" t="s">
        <v>511</v>
      </c>
      <c r="H33" s="43" t="s">
        <v>29</v>
      </c>
    </row>
    <row r="34" spans="1:8" ht="27.6" customHeight="1" x14ac:dyDescent="0.3">
      <c r="A34" s="25">
        <v>23</v>
      </c>
      <c r="B34" s="43" t="s">
        <v>551</v>
      </c>
      <c r="C34" s="43" t="s">
        <v>552</v>
      </c>
      <c r="D34" s="25" t="s">
        <v>26</v>
      </c>
      <c r="E34" s="84">
        <v>0.03</v>
      </c>
      <c r="F34" s="43" t="s">
        <v>27</v>
      </c>
      <c r="G34" s="43" t="s">
        <v>511</v>
      </c>
      <c r="H34" s="43" t="s">
        <v>29</v>
      </c>
    </row>
    <row r="35" spans="1:8" ht="27.6" customHeight="1" x14ac:dyDescent="0.3">
      <c r="A35" s="25">
        <v>24</v>
      </c>
      <c r="B35" s="43" t="s">
        <v>553</v>
      </c>
      <c r="C35" s="43" t="s">
        <v>554</v>
      </c>
      <c r="D35" s="25" t="s">
        <v>26</v>
      </c>
      <c r="E35" s="84">
        <v>0.05</v>
      </c>
      <c r="F35" s="43" t="s">
        <v>27</v>
      </c>
      <c r="G35" s="43" t="s">
        <v>511</v>
      </c>
      <c r="H35" s="43" t="s">
        <v>29</v>
      </c>
    </row>
    <row r="36" spans="1:8" ht="27.6" customHeight="1" x14ac:dyDescent="0.3">
      <c r="A36" s="25">
        <v>25</v>
      </c>
      <c r="B36" s="43" t="s">
        <v>555</v>
      </c>
      <c r="C36" s="43" t="s">
        <v>554</v>
      </c>
      <c r="D36" s="25" t="s">
        <v>26</v>
      </c>
      <c r="E36" s="84">
        <v>0.04</v>
      </c>
      <c r="F36" s="43" t="s">
        <v>27</v>
      </c>
      <c r="G36" s="43" t="s">
        <v>511</v>
      </c>
      <c r="H36" s="43" t="s">
        <v>29</v>
      </c>
    </row>
    <row r="37" spans="1:8" ht="27.6" customHeight="1" x14ac:dyDescent="0.3">
      <c r="A37" s="25">
        <v>26</v>
      </c>
      <c r="B37" s="43" t="s">
        <v>556</v>
      </c>
      <c r="C37" s="43" t="s">
        <v>557</v>
      </c>
      <c r="D37" s="25" t="s">
        <v>26</v>
      </c>
      <c r="E37" s="84">
        <v>0.02</v>
      </c>
      <c r="F37" s="43" t="s">
        <v>27</v>
      </c>
      <c r="G37" s="43" t="s">
        <v>511</v>
      </c>
      <c r="H37" s="43" t="s">
        <v>29</v>
      </c>
    </row>
    <row r="38" spans="1:8" ht="27.6" customHeight="1" x14ac:dyDescent="0.3">
      <c r="A38" s="25">
        <v>27</v>
      </c>
      <c r="B38" s="43" t="s">
        <v>558</v>
      </c>
      <c r="C38" s="43" t="s">
        <v>554</v>
      </c>
      <c r="D38" s="25" t="s">
        <v>26</v>
      </c>
      <c r="E38" s="84">
        <v>0.05</v>
      </c>
      <c r="F38" s="43" t="s">
        <v>27</v>
      </c>
      <c r="G38" s="43" t="s">
        <v>511</v>
      </c>
      <c r="H38" s="43" t="s">
        <v>29</v>
      </c>
    </row>
    <row r="39" spans="1:8" ht="27.6" customHeight="1" x14ac:dyDescent="0.3">
      <c r="A39" s="25">
        <v>28</v>
      </c>
      <c r="B39" s="43" t="s">
        <v>559</v>
      </c>
      <c r="C39" s="43" t="s">
        <v>560</v>
      </c>
      <c r="D39" s="25" t="s">
        <v>561</v>
      </c>
      <c r="E39" s="84">
        <v>0.06</v>
      </c>
      <c r="F39" s="43" t="s">
        <v>27</v>
      </c>
      <c r="G39" s="43" t="s">
        <v>511</v>
      </c>
      <c r="H39" s="43" t="s">
        <v>29</v>
      </c>
    </row>
    <row r="40" spans="1:8" ht="27.6" customHeight="1" x14ac:dyDescent="0.3">
      <c r="A40" s="25">
        <v>29</v>
      </c>
      <c r="B40" s="43" t="s">
        <v>562</v>
      </c>
      <c r="C40" s="43" t="s">
        <v>563</v>
      </c>
      <c r="D40" s="25" t="s">
        <v>136</v>
      </c>
      <c r="E40" s="84">
        <v>0.02</v>
      </c>
      <c r="F40" s="43" t="s">
        <v>27</v>
      </c>
      <c r="G40" s="43" t="s">
        <v>511</v>
      </c>
      <c r="H40" s="43" t="s">
        <v>29</v>
      </c>
    </row>
    <row r="41" spans="1:8" ht="27.6" customHeight="1" x14ac:dyDescent="0.3">
      <c r="A41" s="25">
        <v>30</v>
      </c>
      <c r="B41" s="43" t="s">
        <v>564</v>
      </c>
      <c r="C41" s="43" t="s">
        <v>565</v>
      </c>
      <c r="D41" s="25" t="s">
        <v>136</v>
      </c>
      <c r="E41" s="84">
        <v>0.04</v>
      </c>
      <c r="F41" s="43" t="s">
        <v>27</v>
      </c>
      <c r="G41" s="43" t="s">
        <v>511</v>
      </c>
      <c r="H41" s="43" t="s">
        <v>29</v>
      </c>
    </row>
    <row r="42" spans="1:8" ht="27.6" customHeight="1" x14ac:dyDescent="0.3">
      <c r="A42" s="25">
        <v>31</v>
      </c>
      <c r="B42" s="43" t="s">
        <v>566</v>
      </c>
      <c r="C42" s="43" t="s">
        <v>567</v>
      </c>
      <c r="D42" s="25" t="s">
        <v>136</v>
      </c>
      <c r="E42" s="84">
        <v>0.05</v>
      </c>
      <c r="F42" s="43" t="s">
        <v>27</v>
      </c>
      <c r="G42" s="43" t="s">
        <v>511</v>
      </c>
      <c r="H42" s="43" t="s">
        <v>29</v>
      </c>
    </row>
    <row r="43" spans="1:8" ht="27.6" customHeight="1" x14ac:dyDescent="0.3">
      <c r="A43" s="25">
        <v>32</v>
      </c>
      <c r="B43" s="43" t="s">
        <v>568</v>
      </c>
      <c r="C43" s="43" t="s">
        <v>569</v>
      </c>
      <c r="D43" s="25" t="s">
        <v>136</v>
      </c>
      <c r="E43" s="84">
        <v>0.06</v>
      </c>
      <c r="F43" s="43" t="s">
        <v>27</v>
      </c>
      <c r="G43" s="43" t="s">
        <v>511</v>
      </c>
      <c r="H43" s="43" t="s">
        <v>29</v>
      </c>
    </row>
    <row r="44" spans="1:8" ht="27.6" customHeight="1" x14ac:dyDescent="0.3">
      <c r="A44" s="25">
        <v>33</v>
      </c>
      <c r="B44" s="43" t="s">
        <v>570</v>
      </c>
      <c r="C44" s="43" t="s">
        <v>571</v>
      </c>
      <c r="D44" s="25" t="s">
        <v>136</v>
      </c>
      <c r="E44" s="84">
        <v>0.04</v>
      </c>
      <c r="F44" s="43" t="s">
        <v>27</v>
      </c>
      <c r="G44" s="43" t="s">
        <v>511</v>
      </c>
      <c r="H44" s="43" t="s">
        <v>29</v>
      </c>
    </row>
    <row r="49" spans="2:8" x14ac:dyDescent="0.3">
      <c r="B49" s="1" t="s">
        <v>81</v>
      </c>
      <c r="C49" s="1" t="s">
        <v>82</v>
      </c>
      <c r="D49" s="87" t="s">
        <v>83</v>
      </c>
      <c r="H49" s="1" t="s">
        <v>84</v>
      </c>
    </row>
  </sheetData>
  <autoFilter ref="A11:H11" xr:uid="{D91F71A7-ABE5-416F-9D6E-D16A1DC210B1}"/>
  <mergeCells count="5">
    <mergeCell ref="A1:B3"/>
    <mergeCell ref="C1:G3"/>
    <mergeCell ref="A4:B4"/>
    <mergeCell ref="C4:G5"/>
    <mergeCell ref="A5:B5"/>
  </mergeCells>
  <pageMargins left="0.7" right="0.7" top="0.75" bottom="0.75" header="0.3" footer="0.3"/>
  <pageSetup paperSize="9" orientation="portrait" verticalDpi="0"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D38D7522-C06B-414C-82C1-9D27047FC9C4}">
          <x14:formula1>
            <xm:f>Hoja1!$B$1:$B$14</xm:f>
          </x14:formula1>
          <xm:sqref>F12:F44</xm:sqref>
        </x14:dataValidation>
        <x14:dataValidation type="list" allowBlank="1" showInputMessage="1" showErrorMessage="1" xr:uid="{05B4537F-C694-41FE-A7E1-75C652EB7FC9}">
          <x14:formula1>
            <xm:f>Hoja1!$A$1:$A$8</xm:f>
          </x14:formula1>
          <xm:sqref>D13:D44</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7F52F-93A5-49C4-8A4B-398B78D7F180}">
  <dimension ref="A1:H46"/>
  <sheetViews>
    <sheetView showGridLines="0" topLeftCell="B1" workbookViewId="0">
      <selection activeCell="B11" sqref="B11"/>
    </sheetView>
  </sheetViews>
  <sheetFormatPr baseColWidth="10" defaultColWidth="11.44140625" defaultRowHeight="14.4" x14ac:dyDescent="0.3"/>
  <cols>
    <col min="1" max="1" width="9.6640625" style="1" bestFit="1" customWidth="1"/>
    <col min="2" max="3" width="52.6640625" style="1" customWidth="1"/>
    <col min="4" max="4" width="11.5546875" style="1" bestFit="1" customWidth="1"/>
    <col min="5" max="5" width="9.88671875" style="6" bestFit="1" customWidth="1"/>
    <col min="6" max="6" width="11.5546875" style="1" customWidth="1"/>
    <col min="7" max="7" width="17.6640625" style="1" customWidth="1"/>
    <col min="8" max="8" width="44" style="1" customWidth="1"/>
  </cols>
  <sheetData>
    <row r="1" spans="1:8" ht="14.4" customHeight="1" x14ac:dyDescent="0.3">
      <c r="A1" s="95"/>
      <c r="B1" s="96"/>
      <c r="C1" s="101" t="s">
        <v>0</v>
      </c>
      <c r="D1" s="101"/>
      <c r="E1" s="101"/>
      <c r="F1" s="101"/>
      <c r="G1" s="101"/>
      <c r="H1" s="9" t="s">
        <v>1</v>
      </c>
    </row>
    <row r="2" spans="1:8" ht="14.4" customHeight="1" x14ac:dyDescent="0.3">
      <c r="A2" s="97"/>
      <c r="B2" s="98"/>
      <c r="C2" s="101"/>
      <c r="D2" s="101"/>
      <c r="E2" s="101"/>
      <c r="F2" s="101"/>
      <c r="G2" s="101"/>
      <c r="H2" s="9" t="s">
        <v>2</v>
      </c>
    </row>
    <row r="3" spans="1:8" ht="14.4" customHeight="1" x14ac:dyDescent="0.3">
      <c r="A3" s="99"/>
      <c r="B3" s="100"/>
      <c r="C3" s="101"/>
      <c r="D3" s="101"/>
      <c r="E3" s="101"/>
      <c r="F3" s="101"/>
      <c r="G3" s="101"/>
      <c r="H3" s="9" t="s">
        <v>3</v>
      </c>
    </row>
    <row r="4" spans="1:8" ht="14.4" customHeight="1" x14ac:dyDescent="0.3">
      <c r="A4" s="102" t="s">
        <v>4</v>
      </c>
      <c r="B4" s="102"/>
      <c r="C4" s="102" t="s">
        <v>5</v>
      </c>
      <c r="D4" s="102"/>
      <c r="E4" s="102"/>
      <c r="F4" s="102"/>
      <c r="G4" s="102"/>
      <c r="H4" s="9" t="s">
        <v>6</v>
      </c>
    </row>
    <row r="5" spans="1:8" ht="14.4" customHeight="1" x14ac:dyDescent="0.3">
      <c r="A5" s="102" t="s">
        <v>7</v>
      </c>
      <c r="B5" s="102"/>
      <c r="C5" s="102"/>
      <c r="D5" s="102"/>
      <c r="E5" s="102"/>
      <c r="F5" s="102"/>
      <c r="G5" s="102"/>
      <c r="H5" s="9" t="s">
        <v>8</v>
      </c>
    </row>
    <row r="7" spans="1:8" x14ac:dyDescent="0.3">
      <c r="A7" s="7" t="s">
        <v>9</v>
      </c>
      <c r="B7" s="10" t="s">
        <v>10</v>
      </c>
      <c r="C7" s="3"/>
      <c r="D7" s="3"/>
      <c r="E7" s="4"/>
      <c r="F7" s="3"/>
      <c r="G7" s="3"/>
      <c r="H7" s="3"/>
    </row>
    <row r="8" spans="1:8" x14ac:dyDescent="0.3">
      <c r="A8" s="7" t="s">
        <v>11</v>
      </c>
      <c r="B8" s="10" t="s">
        <v>572</v>
      </c>
      <c r="C8" s="3" t="s">
        <v>573</v>
      </c>
      <c r="D8" s="3"/>
      <c r="E8" s="4">
        <f>SUM(E12:E46)</f>
        <v>1.0000000000000002</v>
      </c>
      <c r="F8" s="3"/>
      <c r="G8" s="3"/>
      <c r="H8" s="3"/>
    </row>
    <row r="9" spans="1:8" x14ac:dyDescent="0.3">
      <c r="A9" s="7" t="s">
        <v>14</v>
      </c>
      <c r="B9" s="10" t="s">
        <v>505</v>
      </c>
      <c r="C9" s="3"/>
      <c r="D9" s="3"/>
      <c r="E9" s="4"/>
      <c r="F9" s="3"/>
      <c r="G9" s="3"/>
      <c r="H9" s="3"/>
    </row>
    <row r="10" spans="1:8" ht="9.6" customHeight="1" x14ac:dyDescent="0.3">
      <c r="A10" s="3"/>
      <c r="B10" s="3"/>
      <c r="C10" s="3"/>
      <c r="D10" s="3"/>
      <c r="E10" s="4"/>
      <c r="F10" s="3"/>
      <c r="G10" s="3"/>
      <c r="H10" s="3"/>
    </row>
    <row r="11" spans="1:8" s="1" customFormat="1" ht="27.6" customHeight="1" x14ac:dyDescent="0.3">
      <c r="A11" s="7" t="s">
        <v>16</v>
      </c>
      <c r="B11" s="7" t="s">
        <v>17</v>
      </c>
      <c r="C11" s="7" t="s">
        <v>18</v>
      </c>
      <c r="D11" s="7" t="s">
        <v>19</v>
      </c>
      <c r="E11" s="8" t="s">
        <v>20</v>
      </c>
      <c r="F11" s="7" t="s">
        <v>21</v>
      </c>
      <c r="G11" s="7" t="s">
        <v>22</v>
      </c>
      <c r="H11" s="7" t="s">
        <v>23</v>
      </c>
    </row>
    <row r="12" spans="1:8" ht="57.6" x14ac:dyDescent="0.3">
      <c r="A12" s="35">
        <v>1</v>
      </c>
      <c r="B12" s="25" t="s">
        <v>574</v>
      </c>
      <c r="C12" s="25" t="s">
        <v>575</v>
      </c>
      <c r="D12" s="36" t="s">
        <v>89</v>
      </c>
      <c r="E12" s="37">
        <v>7.0000000000000007E-2</v>
      </c>
      <c r="F12" s="36" t="s">
        <v>27</v>
      </c>
      <c r="G12" s="25" t="s">
        <v>185</v>
      </c>
      <c r="H12" s="36" t="s">
        <v>29</v>
      </c>
    </row>
    <row r="13" spans="1:8" ht="28.8" x14ac:dyDescent="0.3">
      <c r="A13" s="38">
        <v>2</v>
      </c>
      <c r="B13" s="39" t="s">
        <v>576</v>
      </c>
      <c r="C13" s="40" t="s">
        <v>577</v>
      </c>
      <c r="D13" s="38" t="s">
        <v>172</v>
      </c>
      <c r="E13" s="41">
        <v>0.01</v>
      </c>
      <c r="F13" s="39" t="s">
        <v>27</v>
      </c>
      <c r="G13" s="30" t="s">
        <v>185</v>
      </c>
      <c r="H13" s="39" t="s">
        <v>29</v>
      </c>
    </row>
    <row r="14" spans="1:8" ht="26.25" customHeight="1" x14ac:dyDescent="0.3">
      <c r="A14" s="38">
        <v>3</v>
      </c>
      <c r="B14" s="39" t="s">
        <v>578</v>
      </c>
      <c r="C14" s="26" t="s">
        <v>579</v>
      </c>
      <c r="D14" s="38" t="s">
        <v>51</v>
      </c>
      <c r="E14" s="41">
        <v>0.02</v>
      </c>
      <c r="F14" s="39" t="s">
        <v>27</v>
      </c>
      <c r="G14" s="30" t="s">
        <v>580</v>
      </c>
      <c r="H14" s="39" t="s">
        <v>29</v>
      </c>
    </row>
    <row r="15" spans="1:8" ht="201.6" x14ac:dyDescent="0.3">
      <c r="A15" s="38">
        <v>4</v>
      </c>
      <c r="B15" s="30" t="s">
        <v>581</v>
      </c>
      <c r="C15" s="25" t="s">
        <v>582</v>
      </c>
      <c r="D15" s="39" t="s">
        <v>89</v>
      </c>
      <c r="E15" s="41">
        <v>0.13</v>
      </c>
      <c r="F15" s="39" t="s">
        <v>27</v>
      </c>
      <c r="G15" s="30" t="s">
        <v>583</v>
      </c>
      <c r="H15" s="39" t="s">
        <v>29</v>
      </c>
    </row>
    <row r="16" spans="1:8" ht="28.8" x14ac:dyDescent="0.3">
      <c r="A16" s="38">
        <v>5</v>
      </c>
      <c r="B16" s="39" t="s">
        <v>584</v>
      </c>
      <c r="C16" s="30" t="s">
        <v>585</v>
      </c>
      <c r="D16" s="39" t="s">
        <v>89</v>
      </c>
      <c r="E16" s="41">
        <v>0.08</v>
      </c>
      <c r="F16" s="39" t="s">
        <v>27</v>
      </c>
      <c r="G16" s="30" t="s">
        <v>583</v>
      </c>
      <c r="H16" s="39" t="s">
        <v>29</v>
      </c>
    </row>
    <row r="17" spans="1:8" ht="43.2" x14ac:dyDescent="0.3">
      <c r="A17" s="38">
        <v>6</v>
      </c>
      <c r="B17" s="30" t="s">
        <v>586</v>
      </c>
      <c r="C17" s="30" t="s">
        <v>587</v>
      </c>
      <c r="D17" s="39" t="s">
        <v>51</v>
      </c>
      <c r="E17" s="41">
        <v>0.02</v>
      </c>
      <c r="F17" s="39" t="s">
        <v>27</v>
      </c>
      <c r="G17" s="30" t="s">
        <v>185</v>
      </c>
      <c r="H17" s="39" t="s">
        <v>29</v>
      </c>
    </row>
    <row r="18" spans="1:8" ht="28.8" x14ac:dyDescent="0.3">
      <c r="A18" s="38">
        <v>8</v>
      </c>
      <c r="B18" s="39" t="s">
        <v>588</v>
      </c>
      <c r="C18" s="30" t="s">
        <v>589</v>
      </c>
      <c r="D18" s="39" t="s">
        <v>26</v>
      </c>
      <c r="E18" s="41">
        <v>0.03</v>
      </c>
      <c r="F18" s="39" t="s">
        <v>27</v>
      </c>
      <c r="G18" s="30" t="s">
        <v>185</v>
      </c>
      <c r="H18" s="39" t="s">
        <v>29</v>
      </c>
    </row>
    <row r="19" spans="1:8" ht="43.2" x14ac:dyDescent="0.3">
      <c r="A19" s="38">
        <v>9</v>
      </c>
      <c r="B19" s="30" t="s">
        <v>590</v>
      </c>
      <c r="C19" s="30" t="s">
        <v>591</v>
      </c>
      <c r="D19" s="39" t="s">
        <v>51</v>
      </c>
      <c r="E19" s="41">
        <v>0.02</v>
      </c>
      <c r="F19" s="39" t="s">
        <v>27</v>
      </c>
      <c r="G19" s="30" t="s">
        <v>379</v>
      </c>
      <c r="H19" s="39" t="s">
        <v>29</v>
      </c>
    </row>
    <row r="20" spans="1:8" ht="72" x14ac:dyDescent="0.3">
      <c r="A20" s="38">
        <v>10</v>
      </c>
      <c r="B20" s="30" t="s">
        <v>592</v>
      </c>
      <c r="C20" s="30" t="s">
        <v>593</v>
      </c>
      <c r="D20" s="39" t="s">
        <v>26</v>
      </c>
      <c r="E20" s="41">
        <v>0.02</v>
      </c>
      <c r="F20" s="39" t="s">
        <v>27</v>
      </c>
      <c r="G20" s="30" t="s">
        <v>594</v>
      </c>
      <c r="H20" s="39" t="s">
        <v>29</v>
      </c>
    </row>
    <row r="21" spans="1:8" ht="100.8" x14ac:dyDescent="0.3">
      <c r="A21" s="38">
        <v>11</v>
      </c>
      <c r="B21" s="39" t="s">
        <v>595</v>
      </c>
      <c r="C21" s="30" t="s">
        <v>596</v>
      </c>
      <c r="D21" s="39" t="s">
        <v>26</v>
      </c>
      <c r="E21" s="41">
        <v>0.04</v>
      </c>
      <c r="F21" s="39" t="s">
        <v>27</v>
      </c>
      <c r="G21" s="30" t="s">
        <v>594</v>
      </c>
      <c r="H21" s="39" t="s">
        <v>29</v>
      </c>
    </row>
    <row r="22" spans="1:8" ht="129.6" x14ac:dyDescent="0.3">
      <c r="A22" s="38">
        <v>12</v>
      </c>
      <c r="B22" s="39" t="s">
        <v>597</v>
      </c>
      <c r="C22" s="30" t="s">
        <v>598</v>
      </c>
      <c r="D22" s="39" t="s">
        <v>51</v>
      </c>
      <c r="E22" s="41">
        <v>0.02</v>
      </c>
      <c r="F22" s="39" t="s">
        <v>27</v>
      </c>
      <c r="G22" s="30" t="s">
        <v>594</v>
      </c>
      <c r="H22" s="39" t="s">
        <v>29</v>
      </c>
    </row>
    <row r="23" spans="1:8" ht="43.2" x14ac:dyDescent="0.3">
      <c r="A23" s="38">
        <v>13</v>
      </c>
      <c r="B23" s="39" t="s">
        <v>599</v>
      </c>
      <c r="C23" s="40" t="s">
        <v>600</v>
      </c>
      <c r="D23" s="38" t="s">
        <v>26</v>
      </c>
      <c r="E23" s="41">
        <v>0.01</v>
      </c>
      <c r="F23" s="39" t="s">
        <v>27</v>
      </c>
      <c r="G23" s="30" t="s">
        <v>601</v>
      </c>
      <c r="H23" s="39" t="s">
        <v>29</v>
      </c>
    </row>
    <row r="24" spans="1:8" ht="43.2" x14ac:dyDescent="0.3">
      <c r="A24" s="38">
        <v>14</v>
      </c>
      <c r="B24" s="30" t="s">
        <v>602</v>
      </c>
      <c r="C24" s="30" t="s">
        <v>603</v>
      </c>
      <c r="D24" s="39" t="s">
        <v>561</v>
      </c>
      <c r="E24" s="41">
        <v>0.03</v>
      </c>
      <c r="F24" s="39" t="s">
        <v>27</v>
      </c>
      <c r="G24" s="30" t="s">
        <v>604</v>
      </c>
      <c r="H24" s="39" t="s">
        <v>29</v>
      </c>
    </row>
    <row r="25" spans="1:8" ht="28.8" x14ac:dyDescent="0.3">
      <c r="A25" s="38">
        <v>15</v>
      </c>
      <c r="B25" s="39" t="s">
        <v>605</v>
      </c>
      <c r="C25" s="30" t="s">
        <v>606</v>
      </c>
      <c r="D25" s="39" t="s">
        <v>26</v>
      </c>
      <c r="E25" s="41">
        <v>0.01</v>
      </c>
      <c r="F25" s="39" t="s">
        <v>27</v>
      </c>
      <c r="G25" s="30" t="s">
        <v>185</v>
      </c>
      <c r="H25" s="39" t="s">
        <v>29</v>
      </c>
    </row>
    <row r="26" spans="1:8" ht="28.8" x14ac:dyDescent="0.3">
      <c r="A26" s="38">
        <v>16</v>
      </c>
      <c r="B26" s="39" t="s">
        <v>607</v>
      </c>
      <c r="C26" s="30" t="s">
        <v>608</v>
      </c>
      <c r="D26" s="39" t="s">
        <v>51</v>
      </c>
      <c r="E26" s="41">
        <v>0.01</v>
      </c>
      <c r="F26" s="39" t="s">
        <v>27</v>
      </c>
      <c r="G26" s="30" t="s">
        <v>185</v>
      </c>
      <c r="H26" s="39" t="s">
        <v>29</v>
      </c>
    </row>
    <row r="27" spans="1:8" ht="27.6" customHeight="1" x14ac:dyDescent="0.3">
      <c r="A27" s="38">
        <v>17</v>
      </c>
      <c r="B27" s="39" t="s">
        <v>609</v>
      </c>
      <c r="C27" s="30" t="s">
        <v>610</v>
      </c>
      <c r="D27" s="39" t="s">
        <v>26</v>
      </c>
      <c r="E27" s="41">
        <v>0.01</v>
      </c>
      <c r="F27" s="39" t="s">
        <v>27</v>
      </c>
      <c r="G27" s="30" t="s">
        <v>185</v>
      </c>
      <c r="H27" s="39" t="s">
        <v>29</v>
      </c>
    </row>
    <row r="28" spans="1:8" ht="100.8" x14ac:dyDescent="0.3">
      <c r="A28" s="38">
        <v>18</v>
      </c>
      <c r="B28" s="39" t="s">
        <v>611</v>
      </c>
      <c r="C28" s="30" t="s">
        <v>612</v>
      </c>
      <c r="D28" s="39" t="s">
        <v>26</v>
      </c>
      <c r="E28" s="41">
        <v>0.01</v>
      </c>
      <c r="F28" s="39" t="s">
        <v>27</v>
      </c>
      <c r="G28" s="30" t="s">
        <v>613</v>
      </c>
      <c r="H28" s="39" t="s">
        <v>29</v>
      </c>
    </row>
    <row r="29" spans="1:8" ht="72" x14ac:dyDescent="0.3">
      <c r="A29" s="38">
        <v>19</v>
      </c>
      <c r="B29" s="39" t="s">
        <v>614</v>
      </c>
      <c r="C29" s="30" t="s">
        <v>615</v>
      </c>
      <c r="D29" s="39" t="s">
        <v>89</v>
      </c>
      <c r="E29" s="41">
        <v>0.01</v>
      </c>
      <c r="F29" s="39" t="s">
        <v>27</v>
      </c>
      <c r="G29" s="30" t="s">
        <v>185</v>
      </c>
      <c r="H29" s="39" t="s">
        <v>29</v>
      </c>
    </row>
    <row r="30" spans="1:8" ht="57.6" x14ac:dyDescent="0.3">
      <c r="A30" s="38">
        <v>20</v>
      </c>
      <c r="B30" s="42" t="s">
        <v>616</v>
      </c>
      <c r="C30" s="40" t="s">
        <v>617</v>
      </c>
      <c r="D30" s="38" t="s">
        <v>89</v>
      </c>
      <c r="E30" s="41">
        <v>0.02</v>
      </c>
      <c r="F30" s="39" t="s">
        <v>27</v>
      </c>
      <c r="G30" s="30" t="s">
        <v>185</v>
      </c>
      <c r="H30" s="39" t="s">
        <v>29</v>
      </c>
    </row>
    <row r="31" spans="1:8" ht="100.8" x14ac:dyDescent="0.3">
      <c r="A31" s="38">
        <v>21</v>
      </c>
      <c r="B31" s="30" t="s">
        <v>618</v>
      </c>
      <c r="C31" s="30" t="s">
        <v>619</v>
      </c>
      <c r="D31" s="39" t="s">
        <v>26</v>
      </c>
      <c r="E31" s="41">
        <v>0.08</v>
      </c>
      <c r="F31" s="39" t="s">
        <v>27</v>
      </c>
      <c r="G31" s="30" t="s">
        <v>620</v>
      </c>
      <c r="H31" s="39" t="s">
        <v>621</v>
      </c>
    </row>
    <row r="32" spans="1:8" ht="86.4" x14ac:dyDescent="0.3">
      <c r="A32" s="38">
        <v>22</v>
      </c>
      <c r="B32" s="39" t="s">
        <v>622</v>
      </c>
      <c r="C32" s="30" t="s">
        <v>623</v>
      </c>
      <c r="D32" s="39" t="s">
        <v>89</v>
      </c>
      <c r="E32" s="41">
        <v>0.05</v>
      </c>
      <c r="F32" s="39" t="s">
        <v>27</v>
      </c>
      <c r="G32" s="30" t="s">
        <v>396</v>
      </c>
      <c r="H32" s="39" t="s">
        <v>396</v>
      </c>
    </row>
    <row r="33" spans="1:8" ht="86.4" x14ac:dyDescent="0.3">
      <c r="A33" s="38">
        <v>23</v>
      </c>
      <c r="B33" s="30" t="s">
        <v>624</v>
      </c>
      <c r="C33" s="30" t="s">
        <v>625</v>
      </c>
      <c r="D33" s="39" t="s">
        <v>51</v>
      </c>
      <c r="E33" s="41">
        <v>0.01</v>
      </c>
      <c r="F33" s="39" t="s">
        <v>27</v>
      </c>
      <c r="G33" s="30" t="s">
        <v>185</v>
      </c>
      <c r="H33" s="39" t="s">
        <v>29</v>
      </c>
    </row>
    <row r="34" spans="1:8" ht="158.4" x14ac:dyDescent="0.3">
      <c r="A34" s="38">
        <v>24</v>
      </c>
      <c r="B34" s="30" t="s">
        <v>626</v>
      </c>
      <c r="C34" s="26" t="s">
        <v>627</v>
      </c>
      <c r="D34" s="38" t="s">
        <v>89</v>
      </c>
      <c r="E34" s="41">
        <v>0.05</v>
      </c>
      <c r="F34" s="39" t="s">
        <v>27</v>
      </c>
      <c r="G34" s="30" t="s">
        <v>185</v>
      </c>
      <c r="H34" s="39" t="s">
        <v>29</v>
      </c>
    </row>
    <row r="35" spans="1:8" ht="57.6" x14ac:dyDescent="0.3">
      <c r="A35" s="38">
        <v>25</v>
      </c>
      <c r="B35" s="30" t="s">
        <v>628</v>
      </c>
      <c r="C35" s="25" t="s">
        <v>629</v>
      </c>
      <c r="D35" s="39" t="s">
        <v>89</v>
      </c>
      <c r="E35" s="41">
        <v>0.03</v>
      </c>
      <c r="F35" s="39" t="s">
        <v>27</v>
      </c>
      <c r="G35" s="30" t="s">
        <v>185</v>
      </c>
      <c r="H35" s="39" t="s">
        <v>29</v>
      </c>
    </row>
    <row r="36" spans="1:8" ht="43.2" x14ac:dyDescent="0.3">
      <c r="A36" s="38">
        <v>26</v>
      </c>
      <c r="B36" s="30" t="s">
        <v>630</v>
      </c>
      <c r="C36" s="30" t="s">
        <v>631</v>
      </c>
      <c r="D36" s="39" t="s">
        <v>89</v>
      </c>
      <c r="E36" s="41">
        <v>0.02</v>
      </c>
      <c r="F36" s="39" t="s">
        <v>27</v>
      </c>
      <c r="G36" s="30" t="s">
        <v>185</v>
      </c>
      <c r="H36" s="39" t="s">
        <v>29</v>
      </c>
    </row>
    <row r="37" spans="1:8" ht="28.8" x14ac:dyDescent="0.3">
      <c r="A37" s="38">
        <v>27</v>
      </c>
      <c r="B37" s="30" t="s">
        <v>632</v>
      </c>
      <c r="C37" s="30" t="s">
        <v>633</v>
      </c>
      <c r="D37" s="39" t="s">
        <v>561</v>
      </c>
      <c r="E37" s="41">
        <v>0.02</v>
      </c>
      <c r="F37" s="39" t="s">
        <v>27</v>
      </c>
      <c r="G37" s="30" t="s">
        <v>185</v>
      </c>
      <c r="H37" s="39" t="s">
        <v>29</v>
      </c>
    </row>
    <row r="38" spans="1:8" ht="72" x14ac:dyDescent="0.3">
      <c r="A38" s="38">
        <v>28</v>
      </c>
      <c r="B38" s="30" t="s">
        <v>634</v>
      </c>
      <c r="C38" s="30" t="s">
        <v>593</v>
      </c>
      <c r="D38" s="39" t="s">
        <v>26</v>
      </c>
      <c r="E38" s="41">
        <v>0.02</v>
      </c>
      <c r="F38" s="39" t="s">
        <v>27</v>
      </c>
      <c r="G38" s="30" t="s">
        <v>594</v>
      </c>
      <c r="H38" s="39" t="s">
        <v>29</v>
      </c>
    </row>
    <row r="39" spans="1:8" ht="43.2" x14ac:dyDescent="0.3">
      <c r="A39" s="38">
        <v>29</v>
      </c>
      <c r="B39" s="30" t="s">
        <v>635</v>
      </c>
      <c r="C39" s="30" t="s">
        <v>636</v>
      </c>
      <c r="D39" s="39" t="s">
        <v>51</v>
      </c>
      <c r="E39" s="41">
        <v>0.01</v>
      </c>
      <c r="F39" s="39" t="s">
        <v>27</v>
      </c>
      <c r="G39" s="30" t="s">
        <v>185</v>
      </c>
      <c r="H39" s="39" t="s">
        <v>29</v>
      </c>
    </row>
    <row r="40" spans="1:8" ht="115.2" x14ac:dyDescent="0.3">
      <c r="A40" s="38">
        <v>30</v>
      </c>
      <c r="B40" s="30" t="s">
        <v>637</v>
      </c>
      <c r="C40" s="30" t="s">
        <v>638</v>
      </c>
      <c r="D40" s="39" t="s">
        <v>51</v>
      </c>
      <c r="E40" s="41">
        <v>0.02</v>
      </c>
      <c r="F40" s="39" t="s">
        <v>27</v>
      </c>
      <c r="G40" s="30" t="s">
        <v>185</v>
      </c>
      <c r="H40" s="39" t="s">
        <v>29</v>
      </c>
    </row>
    <row r="41" spans="1:8" ht="57.6" x14ac:dyDescent="0.3">
      <c r="A41" s="38">
        <v>31</v>
      </c>
      <c r="B41" s="30" t="s">
        <v>639</v>
      </c>
      <c r="C41" s="30" t="s">
        <v>640</v>
      </c>
      <c r="D41" s="39" t="s">
        <v>51</v>
      </c>
      <c r="E41" s="41">
        <v>0.02</v>
      </c>
      <c r="F41" s="39" t="s">
        <v>27</v>
      </c>
      <c r="G41" s="30" t="s">
        <v>641</v>
      </c>
      <c r="H41" s="39" t="s">
        <v>29</v>
      </c>
    </row>
    <row r="42" spans="1:8" ht="57.6" x14ac:dyDescent="0.3">
      <c r="A42" s="38">
        <v>32</v>
      </c>
      <c r="B42" s="30" t="s">
        <v>642</v>
      </c>
      <c r="C42" s="30" t="s">
        <v>643</v>
      </c>
      <c r="D42" s="39" t="s">
        <v>51</v>
      </c>
      <c r="E42" s="41">
        <v>0.02</v>
      </c>
      <c r="F42" s="39" t="s">
        <v>27</v>
      </c>
      <c r="G42" s="30" t="s">
        <v>641</v>
      </c>
      <c r="H42" s="39" t="s">
        <v>29</v>
      </c>
    </row>
    <row r="43" spans="1:8" ht="28.8" x14ac:dyDescent="0.3">
      <c r="A43" s="38">
        <v>33</v>
      </c>
      <c r="B43" s="88" t="s">
        <v>644</v>
      </c>
      <c r="C43" s="88" t="s">
        <v>645</v>
      </c>
      <c r="D43" s="39" t="s">
        <v>26</v>
      </c>
      <c r="E43" s="41">
        <v>0.01</v>
      </c>
      <c r="F43" s="39" t="s">
        <v>27</v>
      </c>
      <c r="G43" s="30" t="s">
        <v>185</v>
      </c>
      <c r="H43" s="39" t="s">
        <v>29</v>
      </c>
    </row>
    <row r="44" spans="1:8" ht="43.2" x14ac:dyDescent="0.3">
      <c r="A44" s="38">
        <v>34</v>
      </c>
      <c r="B44" s="89" t="s">
        <v>646</v>
      </c>
      <c r="C44" s="89" t="s">
        <v>647</v>
      </c>
      <c r="D44" s="39" t="s">
        <v>26</v>
      </c>
      <c r="E44" s="41">
        <v>0.02</v>
      </c>
      <c r="F44" s="39" t="s">
        <v>27</v>
      </c>
      <c r="G44" s="25" t="s">
        <v>511</v>
      </c>
      <c r="H44" s="39"/>
    </row>
    <row r="45" spans="1:8" ht="43.2" x14ac:dyDescent="0.3">
      <c r="A45" s="38">
        <v>35</v>
      </c>
      <c r="B45" s="89" t="s">
        <v>546</v>
      </c>
      <c r="C45" s="89" t="s">
        <v>648</v>
      </c>
      <c r="D45" s="39" t="s">
        <v>26</v>
      </c>
      <c r="E45" s="41">
        <v>0.02</v>
      </c>
      <c r="F45" s="39" t="s">
        <v>27</v>
      </c>
      <c r="G45" s="25" t="s">
        <v>511</v>
      </c>
      <c r="H45" s="39"/>
    </row>
    <row r="46" spans="1:8" x14ac:dyDescent="0.3">
      <c r="A46" s="38">
        <v>36</v>
      </c>
      <c r="B46" s="39" t="s">
        <v>649</v>
      </c>
      <c r="C46" s="30" t="s">
        <v>650</v>
      </c>
      <c r="D46" s="39" t="s">
        <v>51</v>
      </c>
      <c r="E46" s="41">
        <v>0.03</v>
      </c>
      <c r="F46" s="39" t="s">
        <v>27</v>
      </c>
      <c r="G46" s="30" t="s">
        <v>651</v>
      </c>
      <c r="H46" s="39" t="s">
        <v>29</v>
      </c>
    </row>
  </sheetData>
  <mergeCells count="5">
    <mergeCell ref="A1:B3"/>
    <mergeCell ref="C1:G3"/>
    <mergeCell ref="A4:B4"/>
    <mergeCell ref="C4:G5"/>
    <mergeCell ref="A5:B5"/>
  </mergeCells>
  <pageMargins left="0.7" right="0.7" top="0.75" bottom="0.75" header="0.3" footer="0.3"/>
  <pageSetup paperSize="9" orientation="portrait" verticalDpi="0"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08525-25D0-41FA-A1E2-C81EDC7F1EBE}">
  <dimension ref="A1:H49"/>
  <sheetViews>
    <sheetView showGridLines="0" topLeftCell="C1" workbookViewId="0">
      <selection activeCell="C1" sqref="C1:G3"/>
    </sheetView>
  </sheetViews>
  <sheetFormatPr baseColWidth="10" defaultColWidth="11.44140625" defaultRowHeight="14.4" x14ac:dyDescent="0.3"/>
  <cols>
    <col min="1" max="1" width="9.6640625" style="1" bestFit="1" customWidth="1"/>
    <col min="2" max="3" width="52.6640625" style="1" customWidth="1"/>
    <col min="4" max="4" width="11.5546875" style="1" bestFit="1" customWidth="1"/>
    <col min="5" max="5" width="9.88671875" style="75" bestFit="1" customWidth="1"/>
    <col min="6" max="6" width="11.5546875" style="1" customWidth="1"/>
    <col min="7" max="7" width="17.6640625" style="1" customWidth="1"/>
    <col min="8" max="8" width="44" style="1" customWidth="1"/>
  </cols>
  <sheetData>
    <row r="1" spans="1:8" ht="14.4" customHeight="1" x14ac:dyDescent="0.3">
      <c r="A1" s="95"/>
      <c r="B1" s="96"/>
      <c r="C1" s="101" t="s">
        <v>0</v>
      </c>
      <c r="D1" s="101"/>
      <c r="E1" s="101"/>
      <c r="F1" s="101"/>
      <c r="G1" s="101"/>
      <c r="H1" s="9" t="s">
        <v>1</v>
      </c>
    </row>
    <row r="2" spans="1:8" ht="14.4" customHeight="1" x14ac:dyDescent="0.3">
      <c r="A2" s="97"/>
      <c r="B2" s="98"/>
      <c r="C2" s="101"/>
      <c r="D2" s="101"/>
      <c r="E2" s="101"/>
      <c r="F2" s="101"/>
      <c r="G2" s="101"/>
      <c r="H2" s="9" t="s">
        <v>2</v>
      </c>
    </row>
    <row r="3" spans="1:8" ht="14.4" customHeight="1" x14ac:dyDescent="0.3">
      <c r="A3" s="99"/>
      <c r="B3" s="100"/>
      <c r="C3" s="101"/>
      <c r="D3" s="101"/>
      <c r="E3" s="101"/>
      <c r="F3" s="101"/>
      <c r="G3" s="101"/>
      <c r="H3" s="9" t="s">
        <v>3</v>
      </c>
    </row>
    <row r="4" spans="1:8" ht="14.4" customHeight="1" x14ac:dyDescent="0.3">
      <c r="A4" s="102" t="s">
        <v>4</v>
      </c>
      <c r="B4" s="102"/>
      <c r="C4" s="102" t="s">
        <v>5</v>
      </c>
      <c r="D4" s="102"/>
      <c r="E4" s="102"/>
      <c r="F4" s="102"/>
      <c r="G4" s="102"/>
      <c r="H4" s="9" t="s">
        <v>6</v>
      </c>
    </row>
    <row r="5" spans="1:8" ht="14.4" customHeight="1" x14ac:dyDescent="0.3">
      <c r="A5" s="102" t="s">
        <v>7</v>
      </c>
      <c r="B5" s="102"/>
      <c r="C5" s="102"/>
      <c r="D5" s="102"/>
      <c r="E5" s="102"/>
      <c r="F5" s="102"/>
      <c r="G5" s="102"/>
      <c r="H5" s="9" t="s">
        <v>8</v>
      </c>
    </row>
    <row r="7" spans="1:8" x14ac:dyDescent="0.3">
      <c r="A7" s="7" t="s">
        <v>9</v>
      </c>
      <c r="B7" s="10" t="s">
        <v>10</v>
      </c>
      <c r="C7" s="3"/>
      <c r="D7" s="3"/>
      <c r="E7" s="73"/>
      <c r="F7" s="3"/>
      <c r="G7" s="3"/>
      <c r="H7" s="3"/>
    </row>
    <row r="8" spans="1:8" x14ac:dyDescent="0.3">
      <c r="A8" s="7" t="s">
        <v>11</v>
      </c>
      <c r="B8" s="10" t="s">
        <v>652</v>
      </c>
      <c r="C8" s="3" t="s">
        <v>653</v>
      </c>
      <c r="D8" s="3"/>
      <c r="E8" s="73"/>
      <c r="F8" s="3"/>
      <c r="G8" s="3"/>
      <c r="H8" s="3"/>
    </row>
    <row r="9" spans="1:8" x14ac:dyDescent="0.3">
      <c r="A9" s="7" t="s">
        <v>14</v>
      </c>
      <c r="B9" s="10" t="s">
        <v>13</v>
      </c>
      <c r="C9" s="3"/>
      <c r="D9" s="3"/>
      <c r="E9" s="73"/>
      <c r="F9" s="3"/>
      <c r="G9" s="3"/>
      <c r="H9" s="3"/>
    </row>
    <row r="10" spans="1:8" ht="9.6" customHeight="1" x14ac:dyDescent="0.3">
      <c r="A10" s="3"/>
      <c r="B10" s="3"/>
      <c r="C10" s="3"/>
      <c r="D10" s="3"/>
      <c r="E10" s="73"/>
      <c r="F10" s="3"/>
      <c r="G10" s="3"/>
      <c r="H10" s="3"/>
    </row>
    <row r="11" spans="1:8" s="1" customFormat="1" ht="27.6" customHeight="1" x14ac:dyDescent="0.3">
      <c r="A11" s="7" t="s">
        <v>16</v>
      </c>
      <c r="B11" s="7" t="s">
        <v>17</v>
      </c>
      <c r="C11" s="7" t="s">
        <v>18</v>
      </c>
      <c r="D11" s="7" t="s">
        <v>19</v>
      </c>
      <c r="E11" s="74" t="s">
        <v>20</v>
      </c>
      <c r="F11" s="7" t="s">
        <v>21</v>
      </c>
      <c r="G11" s="7" t="s">
        <v>22</v>
      </c>
      <c r="H11" s="77" t="s">
        <v>23</v>
      </c>
    </row>
    <row r="12" spans="1:8" s="78" customFormat="1" ht="27.6" customHeight="1" x14ac:dyDescent="0.3">
      <c r="A12" s="12">
        <v>1</v>
      </c>
      <c r="B12" s="68" t="s">
        <v>654</v>
      </c>
      <c r="C12" s="68" t="s">
        <v>655</v>
      </c>
      <c r="D12" s="12" t="s">
        <v>26</v>
      </c>
      <c r="E12" s="81">
        <v>0.01</v>
      </c>
      <c r="F12" s="44" t="s">
        <v>27</v>
      </c>
      <c r="G12" s="44" t="s">
        <v>28</v>
      </c>
      <c r="H12" s="71" t="s">
        <v>29</v>
      </c>
    </row>
    <row r="13" spans="1:8" s="78" customFormat="1" ht="27.6" customHeight="1" x14ac:dyDescent="0.3">
      <c r="A13" s="12">
        <v>2</v>
      </c>
      <c r="B13" s="66" t="s">
        <v>656</v>
      </c>
      <c r="C13" s="68" t="s">
        <v>657</v>
      </c>
      <c r="D13" s="12" t="s">
        <v>26</v>
      </c>
      <c r="E13" s="82">
        <v>0.03</v>
      </c>
      <c r="F13" s="44" t="s">
        <v>27</v>
      </c>
      <c r="G13" s="44" t="s">
        <v>28</v>
      </c>
      <c r="H13" s="71" t="s">
        <v>29</v>
      </c>
    </row>
    <row r="14" spans="1:8" s="78" customFormat="1" ht="27.6" customHeight="1" x14ac:dyDescent="0.3">
      <c r="A14" s="12">
        <v>3</v>
      </c>
      <c r="B14" s="66" t="s">
        <v>658</v>
      </c>
      <c r="C14" s="66" t="s">
        <v>659</v>
      </c>
      <c r="D14" s="12" t="s">
        <v>26</v>
      </c>
      <c r="E14" s="82">
        <v>0.05</v>
      </c>
      <c r="F14" s="44" t="s">
        <v>27</v>
      </c>
      <c r="G14" s="44" t="s">
        <v>28</v>
      </c>
      <c r="H14" s="71" t="s">
        <v>29</v>
      </c>
    </row>
    <row r="15" spans="1:8" s="78" customFormat="1" ht="27.6" customHeight="1" x14ac:dyDescent="0.3">
      <c r="A15" s="12">
        <v>4</v>
      </c>
      <c r="B15" s="66" t="s">
        <v>660</v>
      </c>
      <c r="C15" s="66" t="s">
        <v>661</v>
      </c>
      <c r="D15" s="12" t="s">
        <v>26</v>
      </c>
      <c r="E15" s="82">
        <v>0.03</v>
      </c>
      <c r="F15" s="44" t="s">
        <v>27</v>
      </c>
      <c r="G15" s="44" t="s">
        <v>28</v>
      </c>
      <c r="H15" s="71" t="s">
        <v>29</v>
      </c>
    </row>
    <row r="16" spans="1:8" s="78" customFormat="1" ht="27.6" customHeight="1" x14ac:dyDescent="0.3">
      <c r="A16" s="12">
        <v>5</v>
      </c>
      <c r="B16" s="69" t="s">
        <v>662</v>
      </c>
      <c r="C16" s="69" t="s">
        <v>663</v>
      </c>
      <c r="D16" s="12" t="s">
        <v>136</v>
      </c>
      <c r="E16" s="83">
        <v>0.02</v>
      </c>
      <c r="F16" s="44" t="s">
        <v>27</v>
      </c>
      <c r="G16" s="44" t="s">
        <v>28</v>
      </c>
      <c r="H16" s="71" t="s">
        <v>29</v>
      </c>
    </row>
    <row r="17" spans="1:8" s="78" customFormat="1" ht="27.6" customHeight="1" x14ac:dyDescent="0.3">
      <c r="A17" s="12">
        <v>6</v>
      </c>
      <c r="B17" s="69" t="s">
        <v>664</v>
      </c>
      <c r="C17" s="69" t="s">
        <v>665</v>
      </c>
      <c r="D17" s="12" t="s">
        <v>26</v>
      </c>
      <c r="E17" s="83">
        <v>0.03</v>
      </c>
      <c r="F17" s="44" t="s">
        <v>27</v>
      </c>
      <c r="G17" s="44" t="s">
        <v>28</v>
      </c>
      <c r="H17" s="71" t="s">
        <v>29</v>
      </c>
    </row>
    <row r="18" spans="1:8" s="78" customFormat="1" ht="27.6" customHeight="1" x14ac:dyDescent="0.3">
      <c r="A18" s="12">
        <v>7</v>
      </c>
      <c r="B18" s="69" t="s">
        <v>666</v>
      </c>
      <c r="C18" s="69" t="s">
        <v>667</v>
      </c>
      <c r="D18" s="12" t="s">
        <v>136</v>
      </c>
      <c r="E18" s="83">
        <v>0.02</v>
      </c>
      <c r="F18" s="44" t="s">
        <v>27</v>
      </c>
      <c r="G18" s="44" t="s">
        <v>28</v>
      </c>
      <c r="H18" s="71" t="s">
        <v>29</v>
      </c>
    </row>
    <row r="19" spans="1:8" s="78" customFormat="1" ht="27.6" customHeight="1" x14ac:dyDescent="0.3">
      <c r="A19" s="12">
        <v>8</v>
      </c>
      <c r="B19" s="69" t="s">
        <v>668</v>
      </c>
      <c r="C19" s="69" t="s">
        <v>669</v>
      </c>
      <c r="D19" s="12" t="s">
        <v>26</v>
      </c>
      <c r="E19" s="83">
        <v>0.05</v>
      </c>
      <c r="F19" s="44" t="s">
        <v>27</v>
      </c>
      <c r="G19" s="44" t="s">
        <v>28</v>
      </c>
      <c r="H19" s="71" t="s">
        <v>29</v>
      </c>
    </row>
    <row r="20" spans="1:8" s="78" customFormat="1" ht="27.6" customHeight="1" x14ac:dyDescent="0.3">
      <c r="A20" s="12">
        <v>9</v>
      </c>
      <c r="B20" s="69" t="s">
        <v>670</v>
      </c>
      <c r="C20" s="69" t="s">
        <v>671</v>
      </c>
      <c r="D20" s="12" t="s">
        <v>26</v>
      </c>
      <c r="E20" s="83">
        <v>0.01</v>
      </c>
      <c r="F20" s="44" t="s">
        <v>27</v>
      </c>
      <c r="G20" s="44" t="s">
        <v>28</v>
      </c>
      <c r="H20" s="71" t="s">
        <v>29</v>
      </c>
    </row>
    <row r="21" spans="1:8" s="78" customFormat="1" ht="27.6" customHeight="1" x14ac:dyDescent="0.3">
      <c r="A21" s="12">
        <v>10</v>
      </c>
      <c r="B21" s="69" t="s">
        <v>672</v>
      </c>
      <c r="C21" s="69" t="s">
        <v>673</v>
      </c>
      <c r="D21" s="12" t="s">
        <v>26</v>
      </c>
      <c r="E21" s="83">
        <v>0.01</v>
      </c>
      <c r="F21" s="44" t="s">
        <v>27</v>
      </c>
      <c r="G21" s="44" t="s">
        <v>28</v>
      </c>
      <c r="H21" s="71" t="s">
        <v>29</v>
      </c>
    </row>
    <row r="22" spans="1:8" s="78" customFormat="1" ht="27.6" customHeight="1" x14ac:dyDescent="0.3">
      <c r="A22" s="12">
        <v>11</v>
      </c>
      <c r="B22" s="69" t="s">
        <v>674</v>
      </c>
      <c r="C22" s="69" t="s">
        <v>675</v>
      </c>
      <c r="D22" s="12" t="s">
        <v>26</v>
      </c>
      <c r="E22" s="83">
        <v>0.04</v>
      </c>
      <c r="F22" s="44" t="s">
        <v>27</v>
      </c>
      <c r="G22" s="44" t="s">
        <v>28</v>
      </c>
      <c r="H22" s="71" t="s">
        <v>29</v>
      </c>
    </row>
    <row r="23" spans="1:8" s="78" customFormat="1" ht="27.6" customHeight="1" x14ac:dyDescent="0.3">
      <c r="A23" s="12">
        <v>12</v>
      </c>
      <c r="B23" s="69" t="s">
        <v>676</v>
      </c>
      <c r="C23" s="69" t="s">
        <v>677</v>
      </c>
      <c r="D23" s="12" t="s">
        <v>136</v>
      </c>
      <c r="E23" s="83">
        <v>0.06</v>
      </c>
      <c r="F23" s="44" t="s">
        <v>27</v>
      </c>
      <c r="G23" s="44" t="s">
        <v>28</v>
      </c>
      <c r="H23" s="71" t="s">
        <v>29</v>
      </c>
    </row>
    <row r="24" spans="1:8" s="78" customFormat="1" ht="27.6" customHeight="1" x14ac:dyDescent="0.3">
      <c r="A24" s="12">
        <v>13</v>
      </c>
      <c r="B24" s="71" t="s">
        <v>678</v>
      </c>
      <c r="C24" s="69" t="s">
        <v>138</v>
      </c>
      <c r="D24" s="12" t="s">
        <v>136</v>
      </c>
      <c r="E24" s="79">
        <v>0.04</v>
      </c>
      <c r="F24" s="44" t="s">
        <v>27</v>
      </c>
      <c r="G24" s="44" t="s">
        <v>28</v>
      </c>
      <c r="H24" s="71" t="s">
        <v>29</v>
      </c>
    </row>
    <row r="25" spans="1:8" s="78" customFormat="1" ht="27.6" customHeight="1" x14ac:dyDescent="0.3">
      <c r="A25" s="12">
        <v>14</v>
      </c>
      <c r="B25" s="69" t="s">
        <v>679</v>
      </c>
      <c r="C25" s="69" t="s">
        <v>680</v>
      </c>
      <c r="D25" s="12" t="s">
        <v>26</v>
      </c>
      <c r="E25" s="83">
        <v>0.15</v>
      </c>
      <c r="F25" s="44" t="s">
        <v>27</v>
      </c>
      <c r="G25" s="44" t="s">
        <v>28</v>
      </c>
      <c r="H25" s="69" t="s">
        <v>29</v>
      </c>
    </row>
    <row r="26" spans="1:8" s="78" customFormat="1" ht="27.6" customHeight="1" x14ac:dyDescent="0.3">
      <c r="A26" s="12">
        <v>15</v>
      </c>
      <c r="B26" s="69" t="s">
        <v>681</v>
      </c>
      <c r="C26" s="69" t="s">
        <v>682</v>
      </c>
      <c r="D26" s="12" t="s">
        <v>40</v>
      </c>
      <c r="E26" s="83">
        <v>0.02</v>
      </c>
      <c r="F26" s="44" t="s">
        <v>27</v>
      </c>
      <c r="G26" s="44" t="s">
        <v>28</v>
      </c>
      <c r="H26" s="69" t="s">
        <v>29</v>
      </c>
    </row>
    <row r="27" spans="1:8" s="78" customFormat="1" ht="27.6" customHeight="1" x14ac:dyDescent="0.3">
      <c r="A27" s="12">
        <v>16</v>
      </c>
      <c r="B27" s="69" t="s">
        <v>683</v>
      </c>
      <c r="C27" s="69" t="s">
        <v>683</v>
      </c>
      <c r="D27" s="12" t="s">
        <v>26</v>
      </c>
      <c r="E27" s="83">
        <v>0.01</v>
      </c>
      <c r="F27" s="44" t="s">
        <v>27</v>
      </c>
      <c r="G27" s="44" t="s">
        <v>28</v>
      </c>
      <c r="H27" s="69" t="s">
        <v>29</v>
      </c>
    </row>
    <row r="28" spans="1:8" s="78" customFormat="1" ht="27.6" customHeight="1" x14ac:dyDescent="0.3">
      <c r="A28" s="12">
        <v>17</v>
      </c>
      <c r="B28" s="69" t="s">
        <v>684</v>
      </c>
      <c r="C28" s="69" t="s">
        <v>685</v>
      </c>
      <c r="D28" s="12" t="s">
        <v>26</v>
      </c>
      <c r="E28" s="83">
        <v>0.01</v>
      </c>
      <c r="F28" s="44" t="s">
        <v>27</v>
      </c>
      <c r="G28" s="44" t="s">
        <v>28</v>
      </c>
      <c r="H28" s="69" t="s">
        <v>29</v>
      </c>
    </row>
    <row r="29" spans="1:8" s="78" customFormat="1" ht="27.6" customHeight="1" x14ac:dyDescent="0.3">
      <c r="A29" s="12">
        <v>18</v>
      </c>
      <c r="B29" s="69" t="s">
        <v>686</v>
      </c>
      <c r="C29" s="69" t="s">
        <v>687</v>
      </c>
      <c r="D29" s="12" t="s">
        <v>26</v>
      </c>
      <c r="E29" s="83">
        <v>0.01</v>
      </c>
      <c r="F29" s="44" t="s">
        <v>27</v>
      </c>
      <c r="G29" s="44" t="s">
        <v>28</v>
      </c>
      <c r="H29" s="69" t="s">
        <v>29</v>
      </c>
    </row>
    <row r="30" spans="1:8" s="78" customFormat="1" ht="27.6" customHeight="1" x14ac:dyDescent="0.3">
      <c r="A30" s="12">
        <v>19</v>
      </c>
      <c r="B30" s="69" t="s">
        <v>688</v>
      </c>
      <c r="C30" s="69" t="s">
        <v>688</v>
      </c>
      <c r="D30" s="12" t="s">
        <v>26</v>
      </c>
      <c r="E30" s="83">
        <v>0.04</v>
      </c>
      <c r="F30" s="44" t="s">
        <v>27</v>
      </c>
      <c r="G30" s="44" t="s">
        <v>28</v>
      </c>
      <c r="H30" s="69" t="s">
        <v>29</v>
      </c>
    </row>
    <row r="31" spans="1:8" s="78" customFormat="1" ht="27.6" customHeight="1" x14ac:dyDescent="0.3">
      <c r="A31" s="12">
        <v>20</v>
      </c>
      <c r="B31" s="69" t="s">
        <v>689</v>
      </c>
      <c r="C31" s="69" t="s">
        <v>690</v>
      </c>
      <c r="D31" s="12" t="s">
        <v>26</v>
      </c>
      <c r="E31" s="83">
        <v>0.01</v>
      </c>
      <c r="F31" s="44" t="s">
        <v>27</v>
      </c>
      <c r="G31" s="44" t="s">
        <v>28</v>
      </c>
      <c r="H31" s="69" t="s">
        <v>29</v>
      </c>
    </row>
    <row r="32" spans="1:8" s="78" customFormat="1" ht="27.6" customHeight="1" x14ac:dyDescent="0.3">
      <c r="A32" s="12">
        <v>21</v>
      </c>
      <c r="B32" s="69" t="s">
        <v>691</v>
      </c>
      <c r="C32" s="69" t="s">
        <v>692</v>
      </c>
      <c r="D32" s="12" t="s">
        <v>136</v>
      </c>
      <c r="E32" s="83">
        <v>0.04</v>
      </c>
      <c r="F32" s="44" t="s">
        <v>27</v>
      </c>
      <c r="G32" s="44" t="s">
        <v>28</v>
      </c>
      <c r="H32" s="69" t="s">
        <v>29</v>
      </c>
    </row>
    <row r="33" spans="1:8" s="78" customFormat="1" ht="27.6" customHeight="1" x14ac:dyDescent="0.3">
      <c r="A33" s="12">
        <v>22</v>
      </c>
      <c r="B33" s="69" t="s">
        <v>693</v>
      </c>
      <c r="C33" s="69" t="s">
        <v>694</v>
      </c>
      <c r="D33" s="12" t="s">
        <v>26</v>
      </c>
      <c r="E33" s="83">
        <v>0.01</v>
      </c>
      <c r="F33" s="44" t="s">
        <v>27</v>
      </c>
      <c r="G33" s="44" t="s">
        <v>28</v>
      </c>
      <c r="H33" s="69" t="s">
        <v>29</v>
      </c>
    </row>
    <row r="34" spans="1:8" s="78" customFormat="1" ht="27.6" customHeight="1" x14ac:dyDescent="0.3">
      <c r="A34" s="12">
        <v>23</v>
      </c>
      <c r="B34" s="69" t="s">
        <v>695</v>
      </c>
      <c r="C34" s="69" t="s">
        <v>696</v>
      </c>
      <c r="D34" s="12" t="s">
        <v>26</v>
      </c>
      <c r="E34" s="83">
        <v>0.02</v>
      </c>
      <c r="F34" s="44" t="s">
        <v>27</v>
      </c>
      <c r="G34" s="44" t="s">
        <v>28</v>
      </c>
      <c r="H34" s="69" t="s">
        <v>29</v>
      </c>
    </row>
    <row r="35" spans="1:8" s="78" customFormat="1" ht="27.6" customHeight="1" x14ac:dyDescent="0.3">
      <c r="A35" s="12">
        <v>24</v>
      </c>
      <c r="B35" s="69" t="s">
        <v>697</v>
      </c>
      <c r="C35" s="69" t="s">
        <v>698</v>
      </c>
      <c r="D35" s="12" t="s">
        <v>561</v>
      </c>
      <c r="E35" s="83">
        <v>0.06</v>
      </c>
      <c r="F35" s="44" t="s">
        <v>27</v>
      </c>
      <c r="G35" s="44" t="s">
        <v>28</v>
      </c>
      <c r="H35" s="69" t="s">
        <v>29</v>
      </c>
    </row>
    <row r="36" spans="1:8" s="78" customFormat="1" ht="27.6" customHeight="1" x14ac:dyDescent="0.3">
      <c r="A36" s="12">
        <v>25</v>
      </c>
      <c r="B36" s="69" t="s">
        <v>699</v>
      </c>
      <c r="C36" s="69" t="s">
        <v>700</v>
      </c>
      <c r="D36" s="12" t="s">
        <v>89</v>
      </c>
      <c r="E36" s="83">
        <v>0.01</v>
      </c>
      <c r="F36" s="44" t="s">
        <v>27</v>
      </c>
      <c r="G36" s="44" t="s">
        <v>28</v>
      </c>
      <c r="H36" s="69" t="s">
        <v>29</v>
      </c>
    </row>
    <row r="37" spans="1:8" s="78" customFormat="1" ht="27.6" customHeight="1" x14ac:dyDescent="0.3">
      <c r="A37" s="12">
        <v>26</v>
      </c>
      <c r="B37" s="69" t="s">
        <v>701</v>
      </c>
      <c r="C37" s="69" t="s">
        <v>702</v>
      </c>
      <c r="D37" s="12" t="s">
        <v>26</v>
      </c>
      <c r="E37" s="83">
        <v>0.02</v>
      </c>
      <c r="F37" s="44" t="s">
        <v>27</v>
      </c>
      <c r="G37" s="44" t="s">
        <v>28</v>
      </c>
      <c r="H37" s="69" t="s">
        <v>29</v>
      </c>
    </row>
    <row r="38" spans="1:8" s="78" customFormat="1" ht="27.6" customHeight="1" x14ac:dyDescent="0.3">
      <c r="A38" s="12">
        <v>27</v>
      </c>
      <c r="B38" s="69" t="s">
        <v>703</v>
      </c>
      <c r="C38" s="69" t="s">
        <v>704</v>
      </c>
      <c r="D38" s="12" t="s">
        <v>51</v>
      </c>
      <c r="E38" s="83">
        <v>0.04</v>
      </c>
      <c r="F38" s="44" t="s">
        <v>27</v>
      </c>
      <c r="G38" s="44" t="s">
        <v>28</v>
      </c>
      <c r="H38" s="69" t="s">
        <v>29</v>
      </c>
    </row>
    <row r="39" spans="1:8" s="78" customFormat="1" ht="27.6" customHeight="1" x14ac:dyDescent="0.3">
      <c r="A39" s="12">
        <v>28</v>
      </c>
      <c r="B39" s="76" t="s">
        <v>705</v>
      </c>
      <c r="C39" s="76" t="s">
        <v>706</v>
      </c>
      <c r="D39" s="12" t="s">
        <v>51</v>
      </c>
      <c r="E39" s="83">
        <v>0.01</v>
      </c>
      <c r="F39" s="44" t="s">
        <v>27</v>
      </c>
      <c r="G39" s="44" t="s">
        <v>28</v>
      </c>
      <c r="H39" s="69" t="s">
        <v>29</v>
      </c>
    </row>
    <row r="40" spans="1:8" s="78" customFormat="1" ht="27.6" customHeight="1" x14ac:dyDescent="0.3">
      <c r="A40" s="12">
        <v>29</v>
      </c>
      <c r="B40" s="76" t="s">
        <v>707</v>
      </c>
      <c r="C40" s="76" t="s">
        <v>708</v>
      </c>
      <c r="D40" s="12" t="s">
        <v>26</v>
      </c>
      <c r="E40" s="83">
        <v>0.01</v>
      </c>
      <c r="F40" s="44" t="s">
        <v>27</v>
      </c>
      <c r="G40" s="44" t="s">
        <v>28</v>
      </c>
      <c r="H40" s="69" t="s">
        <v>29</v>
      </c>
    </row>
    <row r="41" spans="1:8" s="78" customFormat="1" ht="27.6" customHeight="1" x14ac:dyDescent="0.3">
      <c r="A41" s="12">
        <v>30</v>
      </c>
      <c r="B41" s="76" t="s">
        <v>709</v>
      </c>
      <c r="C41" s="76" t="s">
        <v>710</v>
      </c>
      <c r="D41" s="12" t="s">
        <v>26</v>
      </c>
      <c r="E41" s="83">
        <v>0.01</v>
      </c>
      <c r="F41" s="44" t="s">
        <v>27</v>
      </c>
      <c r="G41" s="44" t="s">
        <v>28</v>
      </c>
      <c r="H41" s="69" t="s">
        <v>29</v>
      </c>
    </row>
    <row r="42" spans="1:8" s="78" customFormat="1" ht="27.6" customHeight="1" x14ac:dyDescent="0.3">
      <c r="A42" s="12">
        <v>31</v>
      </c>
      <c r="B42" s="76" t="s">
        <v>711</v>
      </c>
      <c r="C42" s="76" t="s">
        <v>712</v>
      </c>
      <c r="D42" s="12" t="s">
        <v>51</v>
      </c>
      <c r="E42" s="83">
        <v>0.04</v>
      </c>
      <c r="F42" s="44" t="s">
        <v>27</v>
      </c>
      <c r="G42" s="44" t="s">
        <v>28</v>
      </c>
      <c r="H42" s="69" t="s">
        <v>29</v>
      </c>
    </row>
    <row r="43" spans="1:8" s="78" customFormat="1" ht="27.6" customHeight="1" x14ac:dyDescent="0.3">
      <c r="A43" s="12">
        <v>32</v>
      </c>
      <c r="B43" s="76" t="s">
        <v>713</v>
      </c>
      <c r="C43" s="76" t="s">
        <v>714</v>
      </c>
      <c r="D43" s="12" t="s">
        <v>26</v>
      </c>
      <c r="E43" s="83">
        <v>0.04</v>
      </c>
      <c r="F43" s="44" t="s">
        <v>27</v>
      </c>
      <c r="G43" s="44" t="s">
        <v>28</v>
      </c>
      <c r="H43" s="69" t="s">
        <v>29</v>
      </c>
    </row>
    <row r="44" spans="1:8" s="78" customFormat="1" ht="27.6" customHeight="1" x14ac:dyDescent="0.3">
      <c r="A44" s="12">
        <v>33</v>
      </c>
      <c r="B44" s="76" t="s">
        <v>715</v>
      </c>
      <c r="C44" s="76" t="s">
        <v>716</v>
      </c>
      <c r="D44" s="12" t="s">
        <v>26</v>
      </c>
      <c r="E44" s="83">
        <v>0.04</v>
      </c>
      <c r="F44" s="44" t="s">
        <v>27</v>
      </c>
      <c r="G44" s="44" t="s">
        <v>28</v>
      </c>
      <c r="H44" s="69" t="s">
        <v>29</v>
      </c>
    </row>
    <row r="45" spans="1:8" ht="27.6" customHeight="1" x14ac:dyDescent="0.3">
      <c r="A45" s="2"/>
      <c r="B45" s="72"/>
      <c r="C45" s="76"/>
      <c r="D45" s="2"/>
      <c r="E45" s="70"/>
      <c r="F45" s="45"/>
      <c r="G45" s="45"/>
      <c r="H45" s="67"/>
    </row>
    <row r="49" spans="2:8" x14ac:dyDescent="0.3">
      <c r="B49" s="1" t="s">
        <v>81</v>
      </c>
      <c r="C49" s="1" t="s">
        <v>82</v>
      </c>
      <c r="D49" s="1" t="s">
        <v>83</v>
      </c>
      <c r="H49" s="1" t="s">
        <v>84</v>
      </c>
    </row>
  </sheetData>
  <mergeCells count="5">
    <mergeCell ref="A1:B3"/>
    <mergeCell ref="C1:G3"/>
    <mergeCell ref="A4:B4"/>
    <mergeCell ref="C4:G5"/>
    <mergeCell ref="A5:B5"/>
  </mergeCells>
  <pageMargins left="0.7" right="0.7" top="0.75" bottom="0.75" header="0.3" footer="0.3"/>
  <pageSetup paperSize="9" orientation="portrait" verticalDpi="0"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4C8C60BA-34D7-40E7-A9DD-4352CF6ABF45}">
          <x14:formula1>
            <xm:f>Hoja1!$A$1:$A$8</xm:f>
          </x14:formula1>
          <xm:sqref>D42 D12:D39</xm:sqref>
        </x14:dataValidation>
        <x14:dataValidation type="list" allowBlank="1" showInputMessage="1" showErrorMessage="1" xr:uid="{845EE8E2-C71E-44DB-B558-B077EC2C8D3A}">
          <x14:formula1>
            <xm:f>Hoja1!$B$1:$B$14</xm:f>
          </x14:formula1>
          <xm:sqref>F12:F45</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D1DD6-4D45-4B19-984E-0472F911313F}">
  <dimension ref="A1:H44"/>
  <sheetViews>
    <sheetView showGridLines="0" workbookViewId="0">
      <selection activeCell="C12" sqref="C12"/>
    </sheetView>
  </sheetViews>
  <sheetFormatPr baseColWidth="10" defaultColWidth="11.44140625" defaultRowHeight="14.4" x14ac:dyDescent="0.3"/>
  <cols>
    <col min="1" max="1" width="9.6640625" style="1" bestFit="1" customWidth="1"/>
    <col min="2" max="3" width="52.6640625" style="1" customWidth="1"/>
    <col min="4" max="4" width="11.5546875" style="1" bestFit="1" customWidth="1"/>
    <col min="5" max="5" width="9.88671875" style="6" bestFit="1" customWidth="1"/>
    <col min="6" max="6" width="11.5546875" style="1" customWidth="1"/>
    <col min="7" max="7" width="17.6640625" style="1" customWidth="1"/>
    <col min="8" max="8" width="44" style="1" customWidth="1"/>
  </cols>
  <sheetData>
    <row r="1" spans="1:8" ht="14.4" customHeight="1" x14ac:dyDescent="0.3">
      <c r="A1" s="95"/>
      <c r="B1" s="96"/>
      <c r="C1" s="101" t="s">
        <v>0</v>
      </c>
      <c r="D1" s="101"/>
      <c r="E1" s="101"/>
      <c r="F1" s="101"/>
      <c r="G1" s="101"/>
      <c r="H1" s="9" t="s">
        <v>1</v>
      </c>
    </row>
    <row r="2" spans="1:8" ht="14.4" customHeight="1" x14ac:dyDescent="0.3">
      <c r="A2" s="97"/>
      <c r="B2" s="98"/>
      <c r="C2" s="101"/>
      <c r="D2" s="101"/>
      <c r="E2" s="101"/>
      <c r="F2" s="101"/>
      <c r="G2" s="101"/>
      <c r="H2" s="9" t="s">
        <v>2</v>
      </c>
    </row>
    <row r="3" spans="1:8" ht="14.4" customHeight="1" x14ac:dyDescent="0.3">
      <c r="A3" s="99"/>
      <c r="B3" s="100"/>
      <c r="C3" s="101"/>
      <c r="D3" s="101"/>
      <c r="E3" s="101"/>
      <c r="F3" s="101"/>
      <c r="G3" s="101"/>
      <c r="H3" s="9" t="s">
        <v>3</v>
      </c>
    </row>
    <row r="4" spans="1:8" ht="14.4" customHeight="1" x14ac:dyDescent="0.3">
      <c r="A4" s="102" t="s">
        <v>4</v>
      </c>
      <c r="B4" s="102"/>
      <c r="C4" s="102" t="s">
        <v>5</v>
      </c>
      <c r="D4" s="102"/>
      <c r="E4" s="102"/>
      <c r="F4" s="102"/>
      <c r="G4" s="102"/>
      <c r="H4" s="9" t="s">
        <v>6</v>
      </c>
    </row>
    <row r="5" spans="1:8" ht="14.4" customHeight="1" x14ac:dyDescent="0.3">
      <c r="A5" s="102" t="s">
        <v>7</v>
      </c>
      <c r="B5" s="102"/>
      <c r="C5" s="102"/>
      <c r="D5" s="102"/>
      <c r="E5" s="102"/>
      <c r="F5" s="102"/>
      <c r="G5" s="102"/>
      <c r="H5" s="9" t="s">
        <v>8</v>
      </c>
    </row>
    <row r="7" spans="1:8" x14ac:dyDescent="0.3">
      <c r="A7" s="7" t="s">
        <v>9</v>
      </c>
      <c r="B7" s="10" t="s">
        <v>10</v>
      </c>
      <c r="C7" s="3"/>
      <c r="D7" s="3"/>
      <c r="E7" s="4"/>
      <c r="F7" s="3"/>
      <c r="G7" s="3"/>
      <c r="H7" s="3"/>
    </row>
    <row r="8" spans="1:8" x14ac:dyDescent="0.3">
      <c r="A8" s="7" t="s">
        <v>11</v>
      </c>
      <c r="B8" s="10" t="s">
        <v>717</v>
      </c>
      <c r="C8" s="3" t="s">
        <v>718</v>
      </c>
      <c r="D8" s="3"/>
      <c r="E8" s="4"/>
      <c r="F8" s="3"/>
      <c r="G8" s="3"/>
      <c r="H8" s="3"/>
    </row>
    <row r="9" spans="1:8" x14ac:dyDescent="0.3">
      <c r="A9" s="7" t="s">
        <v>14</v>
      </c>
      <c r="B9" s="10" t="s">
        <v>653</v>
      </c>
      <c r="C9" s="3"/>
      <c r="D9" s="3"/>
      <c r="E9" s="4"/>
      <c r="F9" s="3"/>
      <c r="G9" s="3"/>
      <c r="H9" s="3"/>
    </row>
    <row r="10" spans="1:8" ht="9.6" customHeight="1" x14ac:dyDescent="0.3">
      <c r="A10" s="3"/>
      <c r="B10" s="3"/>
      <c r="C10" s="3"/>
      <c r="D10" s="3"/>
      <c r="E10" s="4"/>
      <c r="F10" s="3"/>
      <c r="G10" s="3"/>
      <c r="H10" s="3"/>
    </row>
    <row r="11" spans="1:8" s="1" customFormat="1" ht="27.6" customHeight="1" x14ac:dyDescent="0.3">
      <c r="A11" s="7" t="s">
        <v>16</v>
      </c>
      <c r="B11" s="7" t="s">
        <v>17</v>
      </c>
      <c r="C11" s="7" t="s">
        <v>18</v>
      </c>
      <c r="D11" s="7" t="s">
        <v>19</v>
      </c>
      <c r="E11" s="8" t="s">
        <v>20</v>
      </c>
      <c r="F11" s="7" t="s">
        <v>21</v>
      </c>
      <c r="G11" s="7" t="s">
        <v>22</v>
      </c>
      <c r="H11" s="7" t="s">
        <v>23</v>
      </c>
    </row>
    <row r="12" spans="1:8" ht="27.6" customHeight="1" x14ac:dyDescent="0.3">
      <c r="A12" s="2"/>
      <c r="B12" s="2"/>
      <c r="C12" s="2"/>
      <c r="D12" s="2"/>
      <c r="E12" s="5"/>
      <c r="F12" s="2"/>
      <c r="G12" s="2"/>
      <c r="H12" s="2"/>
    </row>
    <row r="13" spans="1:8" ht="27.6" customHeight="1" x14ac:dyDescent="0.3">
      <c r="A13" s="2"/>
      <c r="B13" s="2"/>
      <c r="C13" s="2"/>
      <c r="D13" s="2"/>
      <c r="E13" s="5"/>
      <c r="F13" s="2"/>
      <c r="G13" s="2"/>
      <c r="H13" s="2"/>
    </row>
    <row r="14" spans="1:8" ht="27.6" customHeight="1" x14ac:dyDescent="0.3">
      <c r="A14" s="2"/>
      <c r="B14" s="2"/>
      <c r="C14" s="2"/>
      <c r="D14" s="2"/>
      <c r="E14" s="5"/>
      <c r="F14" s="2"/>
      <c r="G14" s="2"/>
      <c r="H14" s="2"/>
    </row>
    <row r="15" spans="1:8" ht="27.6" customHeight="1" x14ac:dyDescent="0.3">
      <c r="A15" s="2"/>
      <c r="B15" s="2"/>
      <c r="C15" s="2"/>
      <c r="D15" s="2"/>
      <c r="E15" s="5"/>
      <c r="F15" s="2"/>
      <c r="G15" s="2"/>
      <c r="H15" s="2"/>
    </row>
    <row r="16" spans="1:8" ht="27.6" customHeight="1" x14ac:dyDescent="0.3">
      <c r="A16" s="2"/>
      <c r="B16" s="2"/>
      <c r="C16" s="2"/>
      <c r="D16" s="2"/>
      <c r="E16" s="5"/>
      <c r="F16" s="2"/>
      <c r="G16" s="2"/>
      <c r="H16" s="2"/>
    </row>
    <row r="17" spans="1:8" ht="27.6" customHeight="1" x14ac:dyDescent="0.3">
      <c r="A17" s="2"/>
      <c r="B17" s="2"/>
      <c r="C17" s="2"/>
      <c r="D17" s="2"/>
      <c r="E17" s="5"/>
      <c r="F17" s="2"/>
      <c r="G17" s="2"/>
      <c r="H17" s="2"/>
    </row>
    <row r="18" spans="1:8" ht="27.6" customHeight="1" x14ac:dyDescent="0.3">
      <c r="A18" s="2"/>
      <c r="B18" s="2"/>
      <c r="C18" s="2"/>
      <c r="D18" s="2"/>
      <c r="E18" s="5"/>
      <c r="F18" s="2"/>
      <c r="G18" s="2"/>
      <c r="H18" s="2"/>
    </row>
    <row r="19" spans="1:8" ht="27.6" customHeight="1" x14ac:dyDescent="0.3">
      <c r="A19" s="2"/>
      <c r="B19" s="2"/>
      <c r="C19" s="2"/>
      <c r="D19" s="2"/>
      <c r="E19" s="5"/>
      <c r="F19" s="2"/>
      <c r="G19" s="2"/>
      <c r="H19" s="2"/>
    </row>
    <row r="20" spans="1:8" ht="27.6" customHeight="1" x14ac:dyDescent="0.3">
      <c r="A20" s="2"/>
      <c r="B20" s="2"/>
      <c r="C20" s="2"/>
      <c r="D20" s="2"/>
      <c r="E20" s="5"/>
      <c r="F20" s="2"/>
      <c r="G20" s="2"/>
      <c r="H20" s="2"/>
    </row>
    <row r="21" spans="1:8" ht="27.6" customHeight="1" x14ac:dyDescent="0.3">
      <c r="A21" s="2"/>
      <c r="B21" s="2"/>
      <c r="C21" s="2"/>
      <c r="D21" s="2"/>
      <c r="E21" s="5"/>
      <c r="F21" s="2"/>
      <c r="G21" s="2"/>
      <c r="H21" s="2"/>
    </row>
    <row r="22" spans="1:8" ht="27.6" customHeight="1" x14ac:dyDescent="0.3">
      <c r="A22" s="2"/>
      <c r="B22" s="2"/>
      <c r="C22" s="2"/>
      <c r="D22" s="2"/>
      <c r="E22" s="5"/>
      <c r="F22" s="2"/>
      <c r="G22" s="2"/>
      <c r="H22" s="2"/>
    </row>
    <row r="23" spans="1:8" ht="27.6" customHeight="1" x14ac:dyDescent="0.3">
      <c r="A23" s="2"/>
      <c r="B23" s="2"/>
      <c r="C23" s="2"/>
      <c r="D23" s="2"/>
      <c r="E23" s="5"/>
      <c r="F23" s="2"/>
      <c r="G23" s="2"/>
      <c r="H23" s="2"/>
    </row>
    <row r="24" spans="1:8" ht="27.6" customHeight="1" x14ac:dyDescent="0.3">
      <c r="A24" s="2"/>
      <c r="B24" s="2"/>
      <c r="C24" s="2"/>
      <c r="D24" s="2"/>
      <c r="E24" s="5"/>
      <c r="F24" s="2"/>
      <c r="G24" s="2"/>
      <c r="H24" s="2"/>
    </row>
    <row r="25" spans="1:8" ht="27.6" customHeight="1" x14ac:dyDescent="0.3">
      <c r="A25" s="2"/>
      <c r="B25" s="2"/>
      <c r="C25" s="2"/>
      <c r="D25" s="2"/>
      <c r="E25" s="5"/>
      <c r="F25" s="2"/>
      <c r="G25" s="2"/>
      <c r="H25" s="2"/>
    </row>
    <row r="26" spans="1:8" ht="27.6" customHeight="1" x14ac:dyDescent="0.3">
      <c r="A26" s="2"/>
      <c r="B26" s="2"/>
      <c r="C26" s="2"/>
      <c r="D26" s="2"/>
      <c r="E26" s="5"/>
      <c r="F26" s="2"/>
      <c r="G26" s="2"/>
      <c r="H26" s="2"/>
    </row>
    <row r="27" spans="1:8" ht="27.6" customHeight="1" x14ac:dyDescent="0.3">
      <c r="A27" s="2"/>
      <c r="B27" s="2"/>
      <c r="C27" s="2"/>
      <c r="D27" s="2"/>
      <c r="E27" s="5"/>
      <c r="F27" s="2"/>
      <c r="G27" s="2"/>
      <c r="H27" s="2"/>
    </row>
    <row r="28" spans="1:8" ht="27.6" customHeight="1" x14ac:dyDescent="0.3">
      <c r="A28" s="2"/>
      <c r="B28" s="2"/>
      <c r="C28" s="2"/>
      <c r="D28" s="2"/>
      <c r="E28" s="5"/>
      <c r="F28" s="2"/>
      <c r="G28" s="2"/>
      <c r="H28" s="2"/>
    </row>
    <row r="29" spans="1:8" ht="27.6" customHeight="1" x14ac:dyDescent="0.3">
      <c r="A29" s="2"/>
      <c r="B29" s="2"/>
      <c r="C29" s="2"/>
      <c r="D29" s="2"/>
      <c r="E29" s="5"/>
      <c r="F29" s="2"/>
      <c r="G29" s="2"/>
      <c r="H29" s="2"/>
    </row>
    <row r="30" spans="1:8" ht="27.6" customHeight="1" x14ac:dyDescent="0.3">
      <c r="A30" s="2"/>
      <c r="B30" s="2"/>
      <c r="C30" s="2"/>
      <c r="D30" s="2"/>
      <c r="E30" s="5"/>
      <c r="F30" s="2"/>
      <c r="G30" s="2"/>
      <c r="H30" s="2"/>
    </row>
    <row r="31" spans="1:8" ht="27.6" customHeight="1" x14ac:dyDescent="0.3">
      <c r="A31" s="2"/>
      <c r="B31" s="2"/>
      <c r="C31" s="2"/>
      <c r="D31" s="2"/>
      <c r="E31" s="5"/>
      <c r="F31" s="2"/>
      <c r="G31" s="2"/>
      <c r="H31" s="2"/>
    </row>
    <row r="32" spans="1:8" ht="27.6" customHeight="1" x14ac:dyDescent="0.3">
      <c r="A32" s="2"/>
      <c r="B32" s="2"/>
      <c r="C32" s="2"/>
      <c r="D32" s="2"/>
      <c r="E32" s="5"/>
      <c r="F32" s="2"/>
      <c r="G32" s="2"/>
      <c r="H32" s="2"/>
    </row>
    <row r="33" spans="1:8" ht="27.6" customHeight="1" x14ac:dyDescent="0.3">
      <c r="A33" s="2"/>
      <c r="B33" s="2"/>
      <c r="C33" s="2"/>
      <c r="D33" s="2"/>
      <c r="E33" s="5"/>
      <c r="F33" s="2"/>
      <c r="G33" s="2"/>
      <c r="H33" s="2"/>
    </row>
    <row r="34" spans="1:8" ht="27.6" customHeight="1" x14ac:dyDescent="0.3">
      <c r="A34" s="2"/>
      <c r="B34" s="2"/>
      <c r="C34" s="2"/>
      <c r="D34" s="2"/>
      <c r="E34" s="5"/>
      <c r="F34" s="2"/>
      <c r="G34" s="2"/>
      <c r="H34" s="2"/>
    </row>
    <row r="35" spans="1:8" ht="27.6" customHeight="1" x14ac:dyDescent="0.3">
      <c r="A35" s="2"/>
      <c r="B35" s="2"/>
      <c r="C35" s="2"/>
      <c r="D35" s="2"/>
      <c r="E35" s="5"/>
      <c r="F35" s="2"/>
      <c r="G35" s="2"/>
      <c r="H35" s="2"/>
    </row>
    <row r="36" spans="1:8" ht="27.6" customHeight="1" x14ac:dyDescent="0.3">
      <c r="A36" s="2"/>
      <c r="B36" s="2"/>
      <c r="C36" s="2"/>
      <c r="D36" s="2"/>
      <c r="E36" s="5"/>
      <c r="F36" s="2"/>
      <c r="G36" s="2"/>
      <c r="H36" s="2"/>
    </row>
    <row r="37" spans="1:8" ht="27.6" customHeight="1" x14ac:dyDescent="0.3">
      <c r="A37" s="2"/>
      <c r="B37" s="2"/>
      <c r="C37" s="2"/>
      <c r="D37" s="2"/>
      <c r="E37" s="5"/>
      <c r="F37" s="2"/>
      <c r="G37" s="2"/>
      <c r="H37" s="2"/>
    </row>
    <row r="38" spans="1:8" ht="27.6" customHeight="1" x14ac:dyDescent="0.3">
      <c r="A38" s="2"/>
      <c r="B38" s="2"/>
      <c r="C38" s="2"/>
      <c r="D38" s="2"/>
      <c r="E38" s="5"/>
      <c r="F38" s="2"/>
      <c r="G38" s="2"/>
      <c r="H38" s="2"/>
    </row>
    <row r="39" spans="1:8" ht="27.6" customHeight="1" x14ac:dyDescent="0.3">
      <c r="A39" s="2"/>
      <c r="B39" s="2"/>
      <c r="C39" s="2"/>
      <c r="D39" s="2"/>
      <c r="E39" s="5"/>
      <c r="F39" s="2"/>
      <c r="G39" s="2"/>
      <c r="H39" s="2"/>
    </row>
    <row r="44" spans="1:8" x14ac:dyDescent="0.3">
      <c r="B44" s="1" t="s">
        <v>81</v>
      </c>
      <c r="C44" s="1" t="s">
        <v>82</v>
      </c>
      <c r="D44" s="1" t="s">
        <v>83</v>
      </c>
      <c r="H44" s="1" t="s">
        <v>84</v>
      </c>
    </row>
  </sheetData>
  <mergeCells count="5">
    <mergeCell ref="A1:B3"/>
    <mergeCell ref="C1:G3"/>
    <mergeCell ref="A4:B4"/>
    <mergeCell ref="C4:G5"/>
    <mergeCell ref="A5:B5"/>
  </mergeCells>
  <pageMargins left="0.7" right="0.7" top="0.75" bottom="0.75" header="0.3" footer="0.3"/>
  <pageSetup paperSize="9" orientation="portrait" verticalDpi="0"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9878DEAC-B528-44FF-A2DE-F023472091AE}">
          <x14:formula1>
            <xm:f>Hoja1!$A$1:$A$8</xm:f>
          </x14:formula1>
          <xm:sqref>D12:D39</xm:sqref>
        </x14:dataValidation>
        <x14:dataValidation type="list" allowBlank="1" showInputMessage="1" showErrorMessage="1" xr:uid="{C27D32E6-AFE7-4CE3-842A-A628702ECBCB}">
          <x14:formula1>
            <xm:f>Hoja1!$B$1:$B$14</xm:f>
          </x14:formula1>
          <xm:sqref>F12:F39</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621DA-0D62-4EA7-BE29-5527345DB82D}">
  <dimension ref="A1:H56"/>
  <sheetViews>
    <sheetView showGridLines="0" workbookViewId="0">
      <selection activeCell="B1" sqref="A1:B3"/>
    </sheetView>
  </sheetViews>
  <sheetFormatPr baseColWidth="10" defaultColWidth="11.44140625" defaultRowHeight="14.4" x14ac:dyDescent="0.3"/>
  <cols>
    <col min="1" max="1" width="9.6640625" style="1" bestFit="1" customWidth="1"/>
    <col min="2" max="3" width="52.6640625" style="1" customWidth="1"/>
    <col min="4" max="4" width="11.5546875" style="1" bestFit="1" customWidth="1"/>
    <col min="5" max="5" width="9.88671875" style="6" bestFit="1" customWidth="1"/>
    <col min="6" max="6" width="14.5546875" style="1" customWidth="1"/>
    <col min="7" max="7" width="17.6640625" style="1" customWidth="1"/>
    <col min="8" max="8" width="44" style="1" customWidth="1"/>
  </cols>
  <sheetData>
    <row r="1" spans="1:8" ht="14.4" customHeight="1" x14ac:dyDescent="0.3">
      <c r="A1" s="95"/>
      <c r="B1" s="96"/>
      <c r="C1" s="101" t="s">
        <v>0</v>
      </c>
      <c r="D1" s="101"/>
      <c r="E1" s="101"/>
      <c r="F1" s="101"/>
      <c r="G1" s="101"/>
      <c r="H1" s="9" t="s">
        <v>1</v>
      </c>
    </row>
    <row r="2" spans="1:8" ht="14.4" customHeight="1" x14ac:dyDescent="0.3">
      <c r="A2" s="97"/>
      <c r="B2" s="98"/>
      <c r="C2" s="101"/>
      <c r="D2" s="101"/>
      <c r="E2" s="101"/>
      <c r="F2" s="101"/>
      <c r="G2" s="101"/>
      <c r="H2" s="9" t="s">
        <v>2</v>
      </c>
    </row>
    <row r="3" spans="1:8" ht="14.4" customHeight="1" x14ac:dyDescent="0.3">
      <c r="A3" s="99"/>
      <c r="B3" s="100"/>
      <c r="C3" s="101"/>
      <c r="D3" s="101"/>
      <c r="E3" s="101"/>
      <c r="F3" s="101"/>
      <c r="G3" s="101"/>
      <c r="H3" s="9" t="s">
        <v>3</v>
      </c>
    </row>
    <row r="4" spans="1:8" ht="14.4" customHeight="1" x14ac:dyDescent="0.3">
      <c r="A4" s="102" t="s">
        <v>4</v>
      </c>
      <c r="B4" s="102"/>
      <c r="C4" s="102" t="s">
        <v>5</v>
      </c>
      <c r="D4" s="102"/>
      <c r="E4" s="102"/>
      <c r="F4" s="102"/>
      <c r="G4" s="102"/>
      <c r="H4" s="9" t="s">
        <v>6</v>
      </c>
    </row>
    <row r="5" spans="1:8" ht="14.4" customHeight="1" x14ac:dyDescent="0.3">
      <c r="A5" s="102" t="s">
        <v>7</v>
      </c>
      <c r="B5" s="102"/>
      <c r="C5" s="102"/>
      <c r="D5" s="102"/>
      <c r="E5" s="102"/>
      <c r="F5" s="102"/>
      <c r="G5" s="102"/>
      <c r="H5" s="9" t="s">
        <v>8</v>
      </c>
    </row>
    <row r="7" spans="1:8" x14ac:dyDescent="0.3">
      <c r="A7" s="7" t="s">
        <v>9</v>
      </c>
      <c r="B7" s="10" t="s">
        <v>10</v>
      </c>
      <c r="C7" s="3"/>
      <c r="D7" s="3"/>
      <c r="E7" s="4"/>
      <c r="F7" s="3"/>
      <c r="G7" s="3"/>
      <c r="H7" s="3"/>
    </row>
    <row r="8" spans="1:8" x14ac:dyDescent="0.3">
      <c r="A8" s="7" t="s">
        <v>11</v>
      </c>
      <c r="B8" s="10" t="s">
        <v>719</v>
      </c>
      <c r="C8" s="3" t="s">
        <v>720</v>
      </c>
      <c r="D8" s="3"/>
      <c r="E8" s="4"/>
      <c r="F8" s="3"/>
      <c r="G8" s="3"/>
      <c r="H8" s="3"/>
    </row>
    <row r="9" spans="1:8" x14ac:dyDescent="0.3">
      <c r="A9" s="7" t="s">
        <v>14</v>
      </c>
      <c r="B9" s="10" t="s">
        <v>653</v>
      </c>
      <c r="C9" s="3"/>
      <c r="D9" s="3"/>
      <c r="E9" s="4"/>
      <c r="F9" s="3"/>
      <c r="G9" s="3"/>
      <c r="H9" s="3"/>
    </row>
    <row r="10" spans="1:8" ht="9.6" customHeight="1" x14ac:dyDescent="0.3">
      <c r="A10" s="3"/>
      <c r="B10" s="3"/>
      <c r="C10" s="3"/>
      <c r="D10" s="3"/>
      <c r="E10" s="4"/>
      <c r="F10" s="3"/>
      <c r="G10" s="3"/>
      <c r="H10" s="3"/>
    </row>
    <row r="11" spans="1:8" s="1" customFormat="1" ht="27.6" customHeight="1" x14ac:dyDescent="0.3">
      <c r="A11" s="7" t="s">
        <v>16</v>
      </c>
      <c r="B11" s="7" t="s">
        <v>17</v>
      </c>
      <c r="C11" s="7" t="s">
        <v>18</v>
      </c>
      <c r="D11" s="7" t="s">
        <v>19</v>
      </c>
      <c r="E11" s="8" t="s">
        <v>20</v>
      </c>
      <c r="F11" s="7" t="s">
        <v>21</v>
      </c>
      <c r="G11" s="7" t="s">
        <v>22</v>
      </c>
      <c r="H11" s="7" t="s">
        <v>23</v>
      </c>
    </row>
    <row r="12" spans="1:8" ht="27.6" customHeight="1" x14ac:dyDescent="0.3">
      <c r="A12" s="90">
        <v>1</v>
      </c>
      <c r="B12" s="91" t="s">
        <v>721</v>
      </c>
      <c r="C12" s="92" t="s">
        <v>722</v>
      </c>
      <c r="D12" s="93" t="s">
        <v>51</v>
      </c>
      <c r="E12" s="94">
        <v>0.15</v>
      </c>
      <c r="F12" s="92" t="s">
        <v>723</v>
      </c>
      <c r="G12" s="93" t="s">
        <v>724</v>
      </c>
      <c r="H12" s="93" t="s">
        <v>29</v>
      </c>
    </row>
    <row r="13" spans="1:8" ht="27.6" customHeight="1" x14ac:dyDescent="0.3">
      <c r="A13" s="90">
        <v>2</v>
      </c>
      <c r="B13" s="91" t="s">
        <v>725</v>
      </c>
      <c r="C13" s="92" t="s">
        <v>726</v>
      </c>
      <c r="D13" s="93" t="s">
        <v>51</v>
      </c>
      <c r="E13" s="94">
        <v>0.03</v>
      </c>
      <c r="F13" s="92" t="s">
        <v>10</v>
      </c>
      <c r="G13" s="93" t="s">
        <v>724</v>
      </c>
      <c r="H13" s="93" t="s">
        <v>29</v>
      </c>
    </row>
    <row r="14" spans="1:8" ht="27.6" customHeight="1" x14ac:dyDescent="0.3">
      <c r="A14" s="90">
        <v>3</v>
      </c>
      <c r="B14" s="91" t="s">
        <v>727</v>
      </c>
      <c r="C14" s="92" t="s">
        <v>728</v>
      </c>
      <c r="D14" s="93" t="s">
        <v>51</v>
      </c>
      <c r="E14" s="94">
        <v>0.05</v>
      </c>
      <c r="F14" s="92" t="s">
        <v>723</v>
      </c>
      <c r="G14" s="93" t="s">
        <v>724</v>
      </c>
      <c r="H14" s="93" t="s">
        <v>29</v>
      </c>
    </row>
    <row r="15" spans="1:8" ht="27.6" customHeight="1" x14ac:dyDescent="0.3">
      <c r="A15" s="90">
        <v>4</v>
      </c>
      <c r="B15" s="91" t="s">
        <v>729</v>
      </c>
      <c r="C15" s="92" t="s">
        <v>728</v>
      </c>
      <c r="D15" s="93" t="s">
        <v>51</v>
      </c>
      <c r="E15" s="94">
        <v>0.05</v>
      </c>
      <c r="F15" s="92" t="s">
        <v>723</v>
      </c>
      <c r="G15" s="93" t="s">
        <v>724</v>
      </c>
      <c r="H15" s="93" t="s">
        <v>29</v>
      </c>
    </row>
    <row r="16" spans="1:8" ht="27.6" customHeight="1" x14ac:dyDescent="0.3">
      <c r="A16" s="90">
        <v>5</v>
      </c>
      <c r="B16" s="91" t="s">
        <v>730</v>
      </c>
      <c r="C16" s="92" t="s">
        <v>731</v>
      </c>
      <c r="D16" s="93" t="s">
        <v>51</v>
      </c>
      <c r="E16" s="94">
        <v>0.02</v>
      </c>
      <c r="F16" s="92" t="s">
        <v>723</v>
      </c>
      <c r="G16" s="93" t="s">
        <v>724</v>
      </c>
      <c r="H16" s="93" t="s">
        <v>29</v>
      </c>
    </row>
    <row r="17" spans="1:8" ht="27.6" customHeight="1" x14ac:dyDescent="0.3">
      <c r="A17" s="90">
        <v>6</v>
      </c>
      <c r="B17" s="91" t="s">
        <v>732</v>
      </c>
      <c r="C17" s="92" t="s">
        <v>733</v>
      </c>
      <c r="D17" s="93" t="s">
        <v>51</v>
      </c>
      <c r="E17" s="94">
        <v>0.08</v>
      </c>
      <c r="F17" s="92" t="s">
        <v>723</v>
      </c>
      <c r="G17" s="93" t="s">
        <v>724</v>
      </c>
      <c r="H17" s="93" t="s">
        <v>29</v>
      </c>
    </row>
    <row r="18" spans="1:8" ht="27.6" customHeight="1" x14ac:dyDescent="0.3">
      <c r="A18" s="90">
        <v>7</v>
      </c>
      <c r="B18" s="91" t="s">
        <v>734</v>
      </c>
      <c r="C18" s="92" t="s">
        <v>735</v>
      </c>
      <c r="D18" s="93" t="s">
        <v>51</v>
      </c>
      <c r="E18" s="94">
        <v>0.1</v>
      </c>
      <c r="F18" s="92" t="s">
        <v>10</v>
      </c>
      <c r="G18" s="93" t="s">
        <v>467</v>
      </c>
      <c r="H18" s="93" t="s">
        <v>29</v>
      </c>
    </row>
    <row r="19" spans="1:8" ht="27.6" customHeight="1" x14ac:dyDescent="0.3">
      <c r="A19" s="90">
        <v>8</v>
      </c>
      <c r="B19" s="91" t="s">
        <v>736</v>
      </c>
      <c r="C19" s="92" t="s">
        <v>737</v>
      </c>
      <c r="D19" s="93" t="s">
        <v>51</v>
      </c>
      <c r="E19" s="94">
        <v>0.05</v>
      </c>
      <c r="F19" s="92" t="s">
        <v>10</v>
      </c>
      <c r="G19" s="93" t="s">
        <v>724</v>
      </c>
      <c r="H19" s="93" t="s">
        <v>29</v>
      </c>
    </row>
    <row r="20" spans="1:8" ht="27.6" customHeight="1" x14ac:dyDescent="0.3">
      <c r="A20" s="90">
        <v>9</v>
      </c>
      <c r="B20" s="91" t="s">
        <v>738</v>
      </c>
      <c r="C20" s="92" t="s">
        <v>739</v>
      </c>
      <c r="D20" s="93" t="s">
        <v>51</v>
      </c>
      <c r="E20" s="94">
        <v>0.03</v>
      </c>
      <c r="F20" s="92" t="s">
        <v>10</v>
      </c>
      <c r="G20" s="93" t="s">
        <v>740</v>
      </c>
      <c r="H20" s="93" t="s">
        <v>29</v>
      </c>
    </row>
    <row r="21" spans="1:8" ht="27.6" customHeight="1" x14ac:dyDescent="0.3">
      <c r="A21" s="90">
        <v>10</v>
      </c>
      <c r="B21" s="91" t="s">
        <v>741</v>
      </c>
      <c r="C21" s="92" t="s">
        <v>742</v>
      </c>
      <c r="D21" s="93" t="s">
        <v>51</v>
      </c>
      <c r="E21" s="94">
        <v>0.02</v>
      </c>
      <c r="F21" s="92" t="s">
        <v>10</v>
      </c>
      <c r="G21" s="93" t="s">
        <v>740</v>
      </c>
      <c r="H21" s="93" t="s">
        <v>29</v>
      </c>
    </row>
    <row r="22" spans="1:8" ht="27.6" customHeight="1" x14ac:dyDescent="0.3">
      <c r="A22" s="90">
        <v>11</v>
      </c>
      <c r="B22" s="91" t="s">
        <v>743</v>
      </c>
      <c r="C22" s="92" t="s">
        <v>744</v>
      </c>
      <c r="D22" s="93" t="s">
        <v>51</v>
      </c>
      <c r="E22" s="94">
        <v>0.05</v>
      </c>
      <c r="F22" s="92" t="s">
        <v>10</v>
      </c>
      <c r="G22" s="93" t="s">
        <v>740</v>
      </c>
      <c r="H22" s="93" t="s">
        <v>29</v>
      </c>
    </row>
    <row r="23" spans="1:8" ht="27.6" customHeight="1" x14ac:dyDescent="0.3">
      <c r="A23" s="90">
        <v>12</v>
      </c>
      <c r="B23" s="91" t="s">
        <v>745</v>
      </c>
      <c r="C23" s="92" t="s">
        <v>746</v>
      </c>
      <c r="D23" s="93" t="s">
        <v>51</v>
      </c>
      <c r="E23" s="94">
        <v>0.03</v>
      </c>
      <c r="F23" s="92" t="s">
        <v>10</v>
      </c>
      <c r="G23" s="93" t="s">
        <v>185</v>
      </c>
      <c r="H23" s="93" t="s">
        <v>29</v>
      </c>
    </row>
    <row r="24" spans="1:8" ht="27.6" customHeight="1" x14ac:dyDescent="0.3">
      <c r="A24" s="90">
        <v>13</v>
      </c>
      <c r="B24" s="91" t="s">
        <v>747</v>
      </c>
      <c r="C24" s="92" t="s">
        <v>748</v>
      </c>
      <c r="D24" s="93" t="s">
        <v>51</v>
      </c>
      <c r="E24" s="94">
        <v>0.02</v>
      </c>
      <c r="F24" s="92" t="s">
        <v>10</v>
      </c>
      <c r="G24" s="93" t="s">
        <v>740</v>
      </c>
      <c r="H24" s="93" t="s">
        <v>29</v>
      </c>
    </row>
    <row r="25" spans="1:8" ht="27.6" customHeight="1" x14ac:dyDescent="0.3">
      <c r="A25" s="90">
        <v>14</v>
      </c>
      <c r="B25" s="91" t="s">
        <v>749</v>
      </c>
      <c r="C25" s="92" t="s">
        <v>750</v>
      </c>
      <c r="D25" s="93" t="s">
        <v>51</v>
      </c>
      <c r="E25" s="94">
        <v>0.05</v>
      </c>
      <c r="F25" s="92" t="s">
        <v>10</v>
      </c>
      <c r="G25" s="93" t="s">
        <v>467</v>
      </c>
      <c r="H25" s="93" t="s">
        <v>29</v>
      </c>
    </row>
    <row r="26" spans="1:8" ht="27.6" customHeight="1" x14ac:dyDescent="0.3">
      <c r="A26" s="90">
        <v>15</v>
      </c>
      <c r="B26" s="91" t="s">
        <v>751</v>
      </c>
      <c r="C26" s="92" t="s">
        <v>752</v>
      </c>
      <c r="D26" s="93" t="s">
        <v>51</v>
      </c>
      <c r="E26" s="94">
        <v>0.05</v>
      </c>
      <c r="F26" s="92" t="s">
        <v>10</v>
      </c>
      <c r="G26" s="93" t="s">
        <v>467</v>
      </c>
      <c r="H26" s="93" t="s">
        <v>29</v>
      </c>
    </row>
    <row r="27" spans="1:8" ht="27.6" customHeight="1" x14ac:dyDescent="0.3">
      <c r="A27" s="90">
        <v>16</v>
      </c>
      <c r="B27" s="91" t="s">
        <v>753</v>
      </c>
      <c r="C27" s="92" t="s">
        <v>754</v>
      </c>
      <c r="D27" s="93" t="s">
        <v>51</v>
      </c>
      <c r="E27" s="94">
        <v>0.01</v>
      </c>
      <c r="F27" s="92" t="s">
        <v>10</v>
      </c>
      <c r="G27" s="93" t="s">
        <v>467</v>
      </c>
      <c r="H27" s="93" t="s">
        <v>29</v>
      </c>
    </row>
    <row r="28" spans="1:8" ht="27.6" customHeight="1" x14ac:dyDescent="0.3">
      <c r="A28" s="90">
        <v>17</v>
      </c>
      <c r="B28" s="91" t="s">
        <v>755</v>
      </c>
      <c r="C28" s="92" t="s">
        <v>756</v>
      </c>
      <c r="D28" s="93" t="s">
        <v>26</v>
      </c>
      <c r="E28" s="94">
        <v>0.01</v>
      </c>
      <c r="F28" s="92" t="s">
        <v>10</v>
      </c>
      <c r="G28" s="93" t="s">
        <v>467</v>
      </c>
      <c r="H28" s="93" t="s">
        <v>29</v>
      </c>
    </row>
    <row r="29" spans="1:8" ht="27.6" customHeight="1" x14ac:dyDescent="0.3">
      <c r="A29" s="90">
        <v>18</v>
      </c>
      <c r="B29" s="91" t="s">
        <v>757</v>
      </c>
      <c r="C29" s="92" t="s">
        <v>758</v>
      </c>
      <c r="D29" s="93" t="s">
        <v>26</v>
      </c>
      <c r="E29" s="94">
        <v>0.01</v>
      </c>
      <c r="F29" s="92" t="s">
        <v>10</v>
      </c>
      <c r="G29" s="93" t="s">
        <v>467</v>
      </c>
      <c r="H29" s="93" t="s">
        <v>29</v>
      </c>
    </row>
    <row r="30" spans="1:8" ht="27.6" customHeight="1" x14ac:dyDescent="0.3">
      <c r="A30" s="90">
        <v>19</v>
      </c>
      <c r="B30" s="91" t="s">
        <v>759</v>
      </c>
      <c r="C30" s="92" t="s">
        <v>760</v>
      </c>
      <c r="D30" s="93" t="s">
        <v>26</v>
      </c>
      <c r="E30" s="94">
        <v>0.03</v>
      </c>
      <c r="F30" s="92" t="s">
        <v>10</v>
      </c>
      <c r="G30" s="93" t="s">
        <v>467</v>
      </c>
      <c r="H30" s="93" t="s">
        <v>29</v>
      </c>
    </row>
    <row r="31" spans="1:8" ht="27.6" customHeight="1" x14ac:dyDescent="0.3">
      <c r="A31" s="90">
        <v>20</v>
      </c>
      <c r="B31" s="91" t="s">
        <v>761</v>
      </c>
      <c r="C31" s="92" t="s">
        <v>762</v>
      </c>
      <c r="D31" s="93" t="s">
        <v>26</v>
      </c>
      <c r="E31" s="94">
        <v>0.05</v>
      </c>
      <c r="F31" s="92" t="s">
        <v>10</v>
      </c>
      <c r="G31" s="93" t="s">
        <v>467</v>
      </c>
      <c r="H31" s="93" t="s">
        <v>29</v>
      </c>
    </row>
    <row r="32" spans="1:8" ht="27.6" customHeight="1" x14ac:dyDescent="0.3">
      <c r="A32" s="90">
        <v>21</v>
      </c>
      <c r="B32" s="91" t="s">
        <v>763</v>
      </c>
      <c r="C32" s="92" t="s">
        <v>764</v>
      </c>
      <c r="D32" s="93" t="s">
        <v>51</v>
      </c>
      <c r="E32" s="94">
        <v>0.01</v>
      </c>
      <c r="F32" s="92" t="s">
        <v>10</v>
      </c>
      <c r="G32" s="93" t="s">
        <v>467</v>
      </c>
      <c r="H32" s="93" t="s">
        <v>29</v>
      </c>
    </row>
    <row r="33" spans="1:8" ht="27.6" customHeight="1" x14ac:dyDescent="0.3">
      <c r="A33" s="90">
        <v>22</v>
      </c>
      <c r="B33" s="91" t="s">
        <v>765</v>
      </c>
      <c r="C33" s="92" t="s">
        <v>766</v>
      </c>
      <c r="D33" s="93" t="s">
        <v>26</v>
      </c>
      <c r="E33" s="94">
        <v>0.02</v>
      </c>
      <c r="F33" s="92" t="s">
        <v>10</v>
      </c>
      <c r="G33" s="93" t="s">
        <v>467</v>
      </c>
      <c r="H33" s="93" t="s">
        <v>29</v>
      </c>
    </row>
    <row r="34" spans="1:8" ht="27.6" customHeight="1" x14ac:dyDescent="0.3">
      <c r="A34" s="90">
        <v>23</v>
      </c>
      <c r="B34" s="91" t="s">
        <v>767</v>
      </c>
      <c r="C34" s="92" t="s">
        <v>768</v>
      </c>
      <c r="D34" s="93" t="s">
        <v>26</v>
      </c>
      <c r="E34" s="94">
        <v>0.02</v>
      </c>
      <c r="F34" s="92" t="s">
        <v>10</v>
      </c>
      <c r="G34" s="93" t="s">
        <v>467</v>
      </c>
      <c r="H34" s="93" t="s">
        <v>29</v>
      </c>
    </row>
    <row r="35" spans="1:8" ht="27.6" customHeight="1" x14ac:dyDescent="0.3">
      <c r="A35" s="90">
        <v>24</v>
      </c>
      <c r="B35" s="91" t="s">
        <v>769</v>
      </c>
      <c r="C35" s="92" t="s">
        <v>770</v>
      </c>
      <c r="D35" s="93" t="s">
        <v>51</v>
      </c>
      <c r="E35" s="94">
        <v>0.01</v>
      </c>
      <c r="F35" s="92" t="s">
        <v>10</v>
      </c>
      <c r="G35" s="93" t="s">
        <v>467</v>
      </c>
      <c r="H35" s="93" t="s">
        <v>29</v>
      </c>
    </row>
    <row r="36" spans="1:8" ht="27.6" customHeight="1" x14ac:dyDescent="0.3">
      <c r="A36" s="90">
        <v>25</v>
      </c>
      <c r="B36" s="91" t="s">
        <v>771</v>
      </c>
      <c r="C36" s="92" t="s">
        <v>772</v>
      </c>
      <c r="D36" s="93" t="s">
        <v>26</v>
      </c>
      <c r="E36" s="94">
        <v>0.02</v>
      </c>
      <c r="F36" s="92" t="s">
        <v>10</v>
      </c>
      <c r="G36" s="93" t="s">
        <v>467</v>
      </c>
      <c r="H36" s="93" t="s">
        <v>29</v>
      </c>
    </row>
    <row r="37" spans="1:8" ht="27.6" customHeight="1" x14ac:dyDescent="0.3">
      <c r="A37" s="90">
        <v>26</v>
      </c>
      <c r="B37" s="91" t="s">
        <v>773</v>
      </c>
      <c r="C37" s="92" t="s">
        <v>774</v>
      </c>
      <c r="D37" s="93" t="s">
        <v>51</v>
      </c>
      <c r="E37" s="94">
        <v>0.01</v>
      </c>
      <c r="F37" s="92" t="s">
        <v>10</v>
      </c>
      <c r="G37" s="93" t="s">
        <v>467</v>
      </c>
      <c r="H37" s="93" t="s">
        <v>29</v>
      </c>
    </row>
    <row r="38" spans="1:8" ht="27.6" customHeight="1" x14ac:dyDescent="0.3">
      <c r="A38" s="90">
        <v>27</v>
      </c>
      <c r="B38" s="91" t="s">
        <v>775</v>
      </c>
      <c r="C38" s="92" t="s">
        <v>776</v>
      </c>
      <c r="D38" s="93" t="s">
        <v>51</v>
      </c>
      <c r="E38" s="94">
        <v>0.05</v>
      </c>
      <c r="F38" s="92" t="s">
        <v>10</v>
      </c>
      <c r="G38" s="93" t="s">
        <v>467</v>
      </c>
      <c r="H38" s="93" t="s">
        <v>29</v>
      </c>
    </row>
    <row r="39" spans="1:8" ht="27.6" customHeight="1" x14ac:dyDescent="0.3">
      <c r="A39" s="90">
        <v>28</v>
      </c>
      <c r="B39" s="91" t="s">
        <v>777</v>
      </c>
      <c r="C39" s="92" t="s">
        <v>778</v>
      </c>
      <c r="D39" s="93" t="s">
        <v>26</v>
      </c>
      <c r="E39" s="94">
        <v>0.04</v>
      </c>
      <c r="F39" s="92" t="s">
        <v>10</v>
      </c>
      <c r="G39" s="93" t="s">
        <v>467</v>
      </c>
      <c r="H39" s="93" t="s">
        <v>29</v>
      </c>
    </row>
    <row r="40" spans="1:8" ht="27.6" customHeight="1" x14ac:dyDescent="0.3">
      <c r="A40" s="90">
        <v>29</v>
      </c>
      <c r="B40" s="91" t="s">
        <v>779</v>
      </c>
      <c r="C40" s="92" t="s">
        <v>780</v>
      </c>
      <c r="D40" s="93" t="s">
        <v>51</v>
      </c>
      <c r="E40" s="94">
        <v>0.02</v>
      </c>
      <c r="F40" s="92" t="s">
        <v>10</v>
      </c>
      <c r="G40" s="93" t="s">
        <v>467</v>
      </c>
      <c r="H40" s="93" t="s">
        <v>29</v>
      </c>
    </row>
    <row r="41" spans="1:8" ht="27.6" customHeight="1" x14ac:dyDescent="0.3">
      <c r="A41" s="90">
        <v>30</v>
      </c>
      <c r="B41" s="91" t="s">
        <v>781</v>
      </c>
      <c r="C41" s="92" t="s">
        <v>782</v>
      </c>
      <c r="D41" s="93" t="s">
        <v>51</v>
      </c>
      <c r="E41" s="94">
        <v>0.02</v>
      </c>
      <c r="F41" s="92" t="s">
        <v>10</v>
      </c>
      <c r="G41" s="93" t="s">
        <v>467</v>
      </c>
      <c r="H41" s="93" t="s">
        <v>29</v>
      </c>
    </row>
    <row r="42" spans="1:8" ht="27.6" customHeight="1" x14ac:dyDescent="0.3">
      <c r="A42" s="90">
        <v>31</v>
      </c>
      <c r="B42" s="91" t="s">
        <v>783</v>
      </c>
      <c r="C42" s="92" t="s">
        <v>784</v>
      </c>
      <c r="D42" s="93" t="s">
        <v>51</v>
      </c>
      <c r="E42" s="94">
        <v>0.01</v>
      </c>
      <c r="F42" s="92" t="s">
        <v>10</v>
      </c>
      <c r="G42" s="93" t="s">
        <v>467</v>
      </c>
      <c r="H42" s="93" t="s">
        <v>29</v>
      </c>
    </row>
    <row r="43" spans="1:8" ht="27.6" customHeight="1" x14ac:dyDescent="0.3">
      <c r="A43" s="90">
        <v>32</v>
      </c>
      <c r="B43" s="91" t="s">
        <v>785</v>
      </c>
      <c r="C43" s="92" t="s">
        <v>786</v>
      </c>
      <c r="D43" s="93" t="s">
        <v>51</v>
      </c>
      <c r="E43" s="94">
        <v>0.01</v>
      </c>
      <c r="F43" s="92" t="s">
        <v>10</v>
      </c>
      <c r="G43" s="93" t="s">
        <v>467</v>
      </c>
      <c r="H43" s="93" t="s">
        <v>29</v>
      </c>
    </row>
    <row r="44" spans="1:8" ht="27.6" customHeight="1" x14ac:dyDescent="0.3">
      <c r="A44" s="90">
        <v>33</v>
      </c>
      <c r="B44" s="91" t="s">
        <v>787</v>
      </c>
      <c r="C44" s="92" t="s">
        <v>788</v>
      </c>
      <c r="D44" s="93" t="s">
        <v>51</v>
      </c>
      <c r="E44" s="94">
        <v>0.01</v>
      </c>
      <c r="F44" s="92" t="s">
        <v>10</v>
      </c>
      <c r="G44" s="93" t="s">
        <v>467</v>
      </c>
      <c r="H44" s="93" t="s">
        <v>29</v>
      </c>
    </row>
    <row r="45" spans="1:8" ht="27.6" customHeight="1" x14ac:dyDescent="0.3">
      <c r="A45" s="90">
        <v>34</v>
      </c>
      <c r="B45" s="91" t="s">
        <v>789</v>
      </c>
      <c r="C45" s="92" t="s">
        <v>790</v>
      </c>
      <c r="D45" s="93" t="s">
        <v>51</v>
      </c>
      <c r="E45" s="94">
        <v>0.05</v>
      </c>
      <c r="F45" s="92" t="s">
        <v>10</v>
      </c>
      <c r="G45" s="93" t="s">
        <v>467</v>
      </c>
      <c r="H45" s="93" t="s">
        <v>29</v>
      </c>
    </row>
    <row r="46" spans="1:8" ht="27.6" customHeight="1" x14ac:dyDescent="0.3">
      <c r="A46" s="90">
        <v>37</v>
      </c>
      <c r="B46" s="91" t="s">
        <v>741</v>
      </c>
      <c r="C46" s="92" t="s">
        <v>791</v>
      </c>
      <c r="D46" s="93" t="s">
        <v>51</v>
      </c>
      <c r="E46" s="94">
        <v>0.01</v>
      </c>
      <c r="F46" s="92" t="s">
        <v>10</v>
      </c>
      <c r="G46" s="93" t="s">
        <v>467</v>
      </c>
      <c r="H46" s="93" t="s">
        <v>29</v>
      </c>
    </row>
    <row r="47" spans="1:8" ht="27.6" customHeight="1" x14ac:dyDescent="0.3">
      <c r="A47" s="90">
        <v>38</v>
      </c>
      <c r="B47" s="91" t="s">
        <v>792</v>
      </c>
      <c r="C47" s="92" t="s">
        <v>793</v>
      </c>
      <c r="D47" s="93" t="s">
        <v>51</v>
      </c>
      <c r="E47" s="94">
        <v>0.01</v>
      </c>
      <c r="F47" s="92" t="s">
        <v>10</v>
      </c>
      <c r="G47" s="93" t="s">
        <v>467</v>
      </c>
      <c r="H47" s="93" t="s">
        <v>29</v>
      </c>
    </row>
    <row r="48" spans="1:8" ht="27.6" customHeight="1" x14ac:dyDescent="0.3">
      <c r="A48" s="90">
        <v>42</v>
      </c>
      <c r="B48" s="91" t="s">
        <v>794</v>
      </c>
      <c r="C48" s="92" t="s">
        <v>795</v>
      </c>
      <c r="D48" s="93" t="s">
        <v>51</v>
      </c>
      <c r="E48" s="94">
        <v>0.01</v>
      </c>
      <c r="F48" s="92" t="s">
        <v>10</v>
      </c>
      <c r="G48" s="93" t="s">
        <v>467</v>
      </c>
      <c r="H48" s="93" t="s">
        <v>29</v>
      </c>
    </row>
    <row r="49" spans="1:8" ht="27.6" customHeight="1" x14ac:dyDescent="0.3">
      <c r="A49" s="90">
        <v>43</v>
      </c>
      <c r="B49" s="91" t="s">
        <v>796</v>
      </c>
      <c r="C49" s="92" t="s">
        <v>797</v>
      </c>
      <c r="D49" s="93" t="s">
        <v>51</v>
      </c>
      <c r="E49" s="94">
        <v>0.01</v>
      </c>
      <c r="F49" s="92" t="s">
        <v>10</v>
      </c>
      <c r="G49" s="93" t="s">
        <v>467</v>
      </c>
      <c r="H49" s="93" t="s">
        <v>29</v>
      </c>
    </row>
    <row r="50" spans="1:8" ht="27.6" customHeight="1" x14ac:dyDescent="0.3">
      <c r="A50" s="90">
        <v>44</v>
      </c>
      <c r="B50" s="91" t="s">
        <v>798</v>
      </c>
      <c r="C50" s="92" t="s">
        <v>799</v>
      </c>
      <c r="D50" s="93" t="s">
        <v>51</v>
      </c>
      <c r="E50" s="94">
        <v>0.01</v>
      </c>
      <c r="F50" s="92" t="s">
        <v>10</v>
      </c>
      <c r="G50" s="93" t="s">
        <v>467</v>
      </c>
      <c r="H50" s="93" t="s">
        <v>29</v>
      </c>
    </row>
    <row r="51" spans="1:8" ht="27.6" customHeight="1" x14ac:dyDescent="0.3">
      <c r="A51" s="90">
        <v>46</v>
      </c>
      <c r="B51" s="91" t="s">
        <v>800</v>
      </c>
      <c r="C51" s="92" t="s">
        <v>801</v>
      </c>
      <c r="D51" s="93" t="s">
        <v>51</v>
      </c>
      <c r="E51" s="94">
        <v>0.01</v>
      </c>
      <c r="F51" s="92" t="s">
        <v>10</v>
      </c>
      <c r="G51" s="93" t="s">
        <v>467</v>
      </c>
      <c r="H51" s="93" t="s">
        <v>29</v>
      </c>
    </row>
    <row r="52" spans="1:8" ht="27.6" customHeight="1" x14ac:dyDescent="0.3">
      <c r="A52" s="90">
        <v>47</v>
      </c>
      <c r="B52" s="91" t="s">
        <v>802</v>
      </c>
      <c r="C52" s="92" t="s">
        <v>803</v>
      </c>
      <c r="D52" s="93" t="s">
        <v>51</v>
      </c>
      <c r="E52" s="94">
        <v>0.01</v>
      </c>
      <c r="F52" s="92" t="s">
        <v>10</v>
      </c>
      <c r="G52" s="93" t="s">
        <v>467</v>
      </c>
      <c r="H52" s="93" t="s">
        <v>29</v>
      </c>
    </row>
    <row r="53" spans="1:8" ht="27.6" customHeight="1" x14ac:dyDescent="0.3">
      <c r="A53" s="90">
        <v>48</v>
      </c>
      <c r="B53" s="91" t="s">
        <v>804</v>
      </c>
      <c r="C53" s="92" t="s">
        <v>805</v>
      </c>
      <c r="D53" s="93" t="s">
        <v>26</v>
      </c>
      <c r="E53" s="94">
        <v>0.02</v>
      </c>
      <c r="F53" s="92" t="s">
        <v>10</v>
      </c>
      <c r="G53" s="93" t="s">
        <v>467</v>
      </c>
      <c r="H53" s="93" t="s">
        <v>29</v>
      </c>
    </row>
    <row r="54" spans="1:8" ht="27.6" customHeight="1" x14ac:dyDescent="0.3">
      <c r="A54" s="90">
        <v>49</v>
      </c>
      <c r="B54" s="91" t="s">
        <v>806</v>
      </c>
      <c r="C54" s="92" t="s">
        <v>807</v>
      </c>
      <c r="D54" s="93" t="s">
        <v>26</v>
      </c>
      <c r="E54" s="94">
        <v>0.02</v>
      </c>
      <c r="F54" s="92" t="s">
        <v>10</v>
      </c>
      <c r="G54" s="93" t="s">
        <v>467</v>
      </c>
      <c r="H54" s="93" t="s">
        <v>29</v>
      </c>
    </row>
    <row r="55" spans="1:8" ht="27.6" customHeight="1" x14ac:dyDescent="0.3">
      <c r="A55" s="90">
        <v>51</v>
      </c>
      <c r="B55" s="91" t="s">
        <v>808</v>
      </c>
      <c r="C55" s="92" t="s">
        <v>809</v>
      </c>
      <c r="D55" s="93" t="s">
        <v>51</v>
      </c>
      <c r="E55" s="94">
        <v>0.01</v>
      </c>
      <c r="F55" s="92" t="s">
        <v>10</v>
      </c>
      <c r="G55" s="93" t="s">
        <v>467</v>
      </c>
      <c r="H55" s="93" t="s">
        <v>29</v>
      </c>
    </row>
    <row r="56" spans="1:8" ht="27.6" customHeight="1" x14ac:dyDescent="0.3">
      <c r="A56" s="90">
        <v>56</v>
      </c>
      <c r="B56" s="91" t="s">
        <v>810</v>
      </c>
      <c r="C56" s="92" t="s">
        <v>811</v>
      </c>
      <c r="D56" s="93" t="s">
        <v>51</v>
      </c>
      <c r="E56" s="94">
        <v>0.01</v>
      </c>
      <c r="F56" s="92" t="s">
        <v>10</v>
      </c>
      <c r="G56" s="93" t="s">
        <v>467</v>
      </c>
      <c r="H56" s="93" t="s">
        <v>29</v>
      </c>
    </row>
  </sheetData>
  <mergeCells count="5">
    <mergeCell ref="A1:B3"/>
    <mergeCell ref="C1:G3"/>
    <mergeCell ref="A4:B4"/>
    <mergeCell ref="C4:G5"/>
    <mergeCell ref="A5:B5"/>
  </mergeCells>
  <pageMargins left="0.7" right="0.7" top="0.75" bottom="0.75" header="0.3" footer="0.3"/>
  <pageSetup paperSize="9" orientation="portrait" verticalDpi="0" r:id="rId1"/>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A11EF-16E4-47EC-8393-43BE37EB5697}">
  <dimension ref="A1:H30"/>
  <sheetViews>
    <sheetView showGridLines="0" topLeftCell="A12" workbookViewId="0">
      <selection activeCell="B13" sqref="B13"/>
    </sheetView>
  </sheetViews>
  <sheetFormatPr baseColWidth="10" defaultColWidth="11.44140625" defaultRowHeight="14.4" x14ac:dyDescent="0.3"/>
  <cols>
    <col min="1" max="1" width="9.6640625" style="1" bestFit="1" customWidth="1"/>
    <col min="2" max="2" width="52.6640625" style="1" customWidth="1"/>
    <col min="3" max="3" width="58.109375" style="1" customWidth="1"/>
    <col min="4" max="4" width="11.5546875" style="1" bestFit="1" customWidth="1"/>
    <col min="5" max="5" width="9.88671875" style="6" bestFit="1" customWidth="1"/>
    <col min="6" max="6" width="14.6640625" style="1" customWidth="1"/>
    <col min="7" max="7" width="17.6640625" style="1" customWidth="1"/>
    <col min="8" max="8" width="44" style="1" customWidth="1"/>
  </cols>
  <sheetData>
    <row r="1" spans="1:8" ht="14.4" customHeight="1" x14ac:dyDescent="0.3">
      <c r="A1" s="95"/>
      <c r="B1" s="96"/>
      <c r="C1" s="101" t="s">
        <v>0</v>
      </c>
      <c r="D1" s="101"/>
      <c r="E1" s="101"/>
      <c r="F1" s="101"/>
      <c r="G1" s="101"/>
      <c r="H1" s="9" t="s">
        <v>1</v>
      </c>
    </row>
    <row r="2" spans="1:8" ht="14.4" customHeight="1" x14ac:dyDescent="0.3">
      <c r="A2" s="97"/>
      <c r="B2" s="98"/>
      <c r="C2" s="101"/>
      <c r="D2" s="101"/>
      <c r="E2" s="101"/>
      <c r="F2" s="101"/>
      <c r="G2" s="101"/>
      <c r="H2" s="9" t="s">
        <v>2</v>
      </c>
    </row>
    <row r="3" spans="1:8" ht="14.4" customHeight="1" x14ac:dyDescent="0.3">
      <c r="A3" s="99"/>
      <c r="B3" s="100"/>
      <c r="C3" s="101"/>
      <c r="D3" s="101"/>
      <c r="E3" s="101"/>
      <c r="F3" s="101"/>
      <c r="G3" s="101"/>
      <c r="H3" s="9" t="s">
        <v>3</v>
      </c>
    </row>
    <row r="4" spans="1:8" ht="14.4" customHeight="1" x14ac:dyDescent="0.3">
      <c r="A4" s="102" t="s">
        <v>4</v>
      </c>
      <c r="B4" s="102"/>
      <c r="C4" s="102" t="s">
        <v>5</v>
      </c>
      <c r="D4" s="102"/>
      <c r="E4" s="102"/>
      <c r="F4" s="102"/>
      <c r="G4" s="102"/>
      <c r="H4" s="9" t="s">
        <v>6</v>
      </c>
    </row>
    <row r="5" spans="1:8" ht="14.4" customHeight="1" x14ac:dyDescent="0.3">
      <c r="A5" s="102" t="s">
        <v>7</v>
      </c>
      <c r="B5" s="102"/>
      <c r="C5" s="102"/>
      <c r="D5" s="102"/>
      <c r="E5" s="102"/>
      <c r="F5" s="102"/>
      <c r="G5" s="102"/>
      <c r="H5" s="9" t="s">
        <v>8</v>
      </c>
    </row>
    <row r="7" spans="1:8" x14ac:dyDescent="0.3">
      <c r="A7" s="7" t="s">
        <v>9</v>
      </c>
      <c r="B7" s="10" t="s">
        <v>10</v>
      </c>
      <c r="C7" s="3"/>
      <c r="D7" s="3"/>
      <c r="E7" s="4"/>
      <c r="F7" s="3"/>
      <c r="G7" s="3"/>
      <c r="H7" s="3"/>
    </row>
    <row r="8" spans="1:8" x14ac:dyDescent="0.3">
      <c r="A8" s="7" t="s">
        <v>11</v>
      </c>
      <c r="B8" s="10" t="s">
        <v>572</v>
      </c>
      <c r="C8" s="3" t="s">
        <v>812</v>
      </c>
      <c r="D8" s="3"/>
      <c r="E8" s="4"/>
      <c r="F8" s="3"/>
      <c r="G8" s="3"/>
      <c r="H8" s="3"/>
    </row>
    <row r="9" spans="1:8" x14ac:dyDescent="0.3">
      <c r="A9" s="7" t="s">
        <v>14</v>
      </c>
      <c r="B9" s="10" t="s">
        <v>653</v>
      </c>
      <c r="C9" s="3"/>
      <c r="D9" s="3"/>
      <c r="E9" s="4"/>
      <c r="F9" s="3"/>
      <c r="G9" s="3"/>
      <c r="H9" s="3"/>
    </row>
    <row r="10" spans="1:8" ht="9.6" customHeight="1" x14ac:dyDescent="0.3">
      <c r="A10" s="3"/>
      <c r="B10" s="3"/>
      <c r="C10" s="3"/>
      <c r="D10" s="3"/>
      <c r="E10" s="4"/>
      <c r="F10" s="3"/>
      <c r="G10" s="3"/>
      <c r="H10" s="3"/>
    </row>
    <row r="11" spans="1:8" s="1" customFormat="1" ht="27.6" customHeight="1" x14ac:dyDescent="0.3">
      <c r="A11" s="7" t="s">
        <v>16</v>
      </c>
      <c r="B11" s="7" t="s">
        <v>17</v>
      </c>
      <c r="C11" s="7" t="s">
        <v>18</v>
      </c>
      <c r="D11" s="7" t="s">
        <v>19</v>
      </c>
      <c r="E11" s="8" t="s">
        <v>20</v>
      </c>
      <c r="F11" s="7" t="s">
        <v>21</v>
      </c>
      <c r="G11" s="7" t="s">
        <v>22</v>
      </c>
      <c r="H11" s="7" t="s">
        <v>23</v>
      </c>
    </row>
    <row r="12" spans="1:8" ht="201.6" x14ac:dyDescent="0.3">
      <c r="A12" s="2">
        <v>1</v>
      </c>
      <c r="B12" s="35" t="s">
        <v>813</v>
      </c>
      <c r="C12" s="24" t="s">
        <v>814</v>
      </c>
      <c r="D12" s="24" t="s">
        <v>89</v>
      </c>
      <c r="E12" s="27">
        <v>0.22</v>
      </c>
      <c r="F12" s="25" t="s">
        <v>27</v>
      </c>
      <c r="G12" s="25" t="s">
        <v>815</v>
      </c>
      <c r="H12" s="25" t="s">
        <v>816</v>
      </c>
    </row>
    <row r="13" spans="1:8" ht="158.4" x14ac:dyDescent="0.3">
      <c r="A13" s="2">
        <v>2</v>
      </c>
      <c r="B13" s="38" t="s">
        <v>817</v>
      </c>
      <c r="C13" s="28" t="s">
        <v>818</v>
      </c>
      <c r="D13" s="28" t="s">
        <v>51</v>
      </c>
      <c r="E13" s="31">
        <v>0.15</v>
      </c>
      <c r="F13" s="25" t="s">
        <v>27</v>
      </c>
      <c r="G13" s="30" t="s">
        <v>815</v>
      </c>
      <c r="H13" s="30" t="s">
        <v>819</v>
      </c>
    </row>
    <row r="14" spans="1:8" ht="187.2" x14ac:dyDescent="0.3">
      <c r="A14" s="2">
        <v>3</v>
      </c>
      <c r="B14" s="38" t="s">
        <v>820</v>
      </c>
      <c r="C14" s="28" t="s">
        <v>821</v>
      </c>
      <c r="D14" s="28" t="s">
        <v>51</v>
      </c>
      <c r="E14" s="31">
        <v>0.15</v>
      </c>
      <c r="F14" s="25" t="s">
        <v>27</v>
      </c>
      <c r="G14" s="30" t="s">
        <v>822</v>
      </c>
      <c r="H14" s="30" t="s">
        <v>823</v>
      </c>
    </row>
    <row r="15" spans="1:8" ht="115.2" x14ac:dyDescent="0.3">
      <c r="A15" s="2">
        <v>4</v>
      </c>
      <c r="B15" s="28" t="s">
        <v>824</v>
      </c>
      <c r="C15" s="28" t="s">
        <v>825</v>
      </c>
      <c r="D15" s="28" t="s">
        <v>51</v>
      </c>
      <c r="E15" s="31">
        <v>0.05</v>
      </c>
      <c r="F15" s="25" t="s">
        <v>27</v>
      </c>
      <c r="G15" s="30" t="s">
        <v>826</v>
      </c>
      <c r="H15" s="30" t="s">
        <v>823</v>
      </c>
    </row>
    <row r="16" spans="1:8" ht="259.2" x14ac:dyDescent="0.3">
      <c r="A16" s="2">
        <v>5</v>
      </c>
      <c r="B16" s="28" t="s">
        <v>827</v>
      </c>
      <c r="C16" s="28" t="s">
        <v>828</v>
      </c>
      <c r="D16" s="28" t="s">
        <v>51</v>
      </c>
      <c r="E16" s="31">
        <v>0.05</v>
      </c>
      <c r="F16" s="25" t="s">
        <v>27</v>
      </c>
      <c r="G16" s="30" t="s">
        <v>829</v>
      </c>
      <c r="H16" s="30" t="s">
        <v>823</v>
      </c>
    </row>
    <row r="17" spans="1:8" ht="288" x14ac:dyDescent="0.3">
      <c r="A17" s="2">
        <v>6</v>
      </c>
      <c r="B17" s="28" t="s">
        <v>830</v>
      </c>
      <c r="C17" s="28" t="s">
        <v>831</v>
      </c>
      <c r="D17" s="28" t="s">
        <v>26</v>
      </c>
      <c r="E17" s="31">
        <v>0.09</v>
      </c>
      <c r="F17" s="25" t="s">
        <v>27</v>
      </c>
      <c r="G17" s="30" t="s">
        <v>832</v>
      </c>
      <c r="H17" s="30" t="s">
        <v>823</v>
      </c>
    </row>
    <row r="18" spans="1:8" ht="187.2" x14ac:dyDescent="0.3">
      <c r="A18" s="2">
        <v>7</v>
      </c>
      <c r="B18" s="28" t="s">
        <v>833</v>
      </c>
      <c r="C18" s="28" t="s">
        <v>834</v>
      </c>
      <c r="D18" s="28" t="s">
        <v>26</v>
      </c>
      <c r="E18" s="31">
        <v>0.01</v>
      </c>
      <c r="F18" s="25" t="s">
        <v>27</v>
      </c>
      <c r="G18" s="30" t="s">
        <v>835</v>
      </c>
      <c r="H18" s="30" t="s">
        <v>816</v>
      </c>
    </row>
    <row r="19" spans="1:8" ht="86.4" x14ac:dyDescent="0.3">
      <c r="A19" s="2">
        <v>8</v>
      </c>
      <c r="B19" s="28" t="s">
        <v>836</v>
      </c>
      <c r="C19" s="28" t="s">
        <v>837</v>
      </c>
      <c r="D19" s="28" t="s">
        <v>51</v>
      </c>
      <c r="E19" s="31">
        <v>0.05</v>
      </c>
      <c r="F19" s="25" t="s">
        <v>27</v>
      </c>
      <c r="G19" s="30" t="s">
        <v>838</v>
      </c>
      <c r="H19" s="30" t="s">
        <v>839</v>
      </c>
    </row>
    <row r="20" spans="1:8" ht="57.6" x14ac:dyDescent="0.3">
      <c r="A20" s="2">
        <v>9</v>
      </c>
      <c r="B20" s="28" t="s">
        <v>840</v>
      </c>
      <c r="C20" s="28" t="s">
        <v>841</v>
      </c>
      <c r="D20" s="28" t="s">
        <v>51</v>
      </c>
      <c r="E20" s="31">
        <v>0.1</v>
      </c>
      <c r="F20" s="25" t="s">
        <v>27</v>
      </c>
      <c r="G20" s="25" t="s">
        <v>842</v>
      </c>
      <c r="H20" s="25" t="s">
        <v>816</v>
      </c>
    </row>
    <row r="21" spans="1:8" ht="72" x14ac:dyDescent="0.3">
      <c r="A21" s="2">
        <v>10</v>
      </c>
      <c r="B21" s="28" t="s">
        <v>843</v>
      </c>
      <c r="C21" s="28" t="s">
        <v>844</v>
      </c>
      <c r="D21" s="28" t="s">
        <v>51</v>
      </c>
      <c r="E21" s="31">
        <v>0.01</v>
      </c>
      <c r="F21" s="25" t="s">
        <v>27</v>
      </c>
      <c r="G21" s="30" t="s">
        <v>845</v>
      </c>
      <c r="H21" s="30" t="s">
        <v>839</v>
      </c>
    </row>
    <row r="22" spans="1:8" ht="259.2" x14ac:dyDescent="0.3">
      <c r="A22" s="80">
        <v>11</v>
      </c>
      <c r="B22" s="38" t="s">
        <v>846</v>
      </c>
      <c r="C22" s="28" t="s">
        <v>847</v>
      </c>
      <c r="D22" s="28" t="s">
        <v>51</v>
      </c>
      <c r="E22" s="31">
        <v>0.05</v>
      </c>
      <c r="F22" s="25" t="s">
        <v>27</v>
      </c>
      <c r="G22" s="30" t="s">
        <v>848</v>
      </c>
      <c r="H22" s="30" t="s">
        <v>839</v>
      </c>
    </row>
    <row r="23" spans="1:8" ht="100.8" x14ac:dyDescent="0.3">
      <c r="A23" s="80">
        <v>12</v>
      </c>
      <c r="B23" s="38" t="s">
        <v>849</v>
      </c>
      <c r="C23" s="28" t="s">
        <v>850</v>
      </c>
      <c r="D23" s="28" t="s">
        <v>51</v>
      </c>
      <c r="E23" s="31">
        <v>1.2500000000000001E-2</v>
      </c>
      <c r="F23" s="25" t="s">
        <v>27</v>
      </c>
      <c r="G23" s="30" t="s">
        <v>842</v>
      </c>
      <c r="H23" s="30" t="s">
        <v>816</v>
      </c>
    </row>
    <row r="24" spans="1:8" ht="43.2" x14ac:dyDescent="0.3">
      <c r="A24" s="80">
        <v>13</v>
      </c>
      <c r="B24" s="28" t="s">
        <v>851</v>
      </c>
      <c r="C24" s="28" t="s">
        <v>852</v>
      </c>
      <c r="D24" s="28" t="s">
        <v>26</v>
      </c>
      <c r="E24" s="31">
        <v>0.02</v>
      </c>
      <c r="F24" s="25" t="s">
        <v>27</v>
      </c>
      <c r="G24" s="30" t="s">
        <v>848</v>
      </c>
      <c r="H24" s="30" t="s">
        <v>839</v>
      </c>
    </row>
    <row r="25" spans="1:8" ht="28.8" x14ac:dyDescent="0.3">
      <c r="A25" s="80">
        <v>14</v>
      </c>
      <c r="B25" s="28" t="s">
        <v>853</v>
      </c>
      <c r="C25" s="28" t="s">
        <v>854</v>
      </c>
      <c r="D25" s="28" t="s">
        <v>26</v>
      </c>
      <c r="E25" s="31">
        <v>0.01</v>
      </c>
      <c r="F25" s="25" t="s">
        <v>27</v>
      </c>
      <c r="G25" s="30" t="s">
        <v>303</v>
      </c>
      <c r="H25" s="30" t="s">
        <v>839</v>
      </c>
    </row>
    <row r="26" spans="1:8" ht="43.2" x14ac:dyDescent="0.3">
      <c r="A26" s="80">
        <v>15</v>
      </c>
      <c r="B26" s="28" t="s">
        <v>855</v>
      </c>
      <c r="C26" s="28" t="s">
        <v>856</v>
      </c>
      <c r="D26" s="28" t="s">
        <v>26</v>
      </c>
      <c r="E26" s="31">
        <v>0.01</v>
      </c>
      <c r="F26" s="25" t="s">
        <v>27</v>
      </c>
      <c r="G26" s="30" t="s">
        <v>857</v>
      </c>
      <c r="H26" s="30" t="s">
        <v>839</v>
      </c>
    </row>
    <row r="27" spans="1:8" ht="72" x14ac:dyDescent="0.3">
      <c r="A27" s="80">
        <v>16</v>
      </c>
      <c r="B27" s="28" t="s">
        <v>858</v>
      </c>
      <c r="C27" s="28" t="s">
        <v>859</v>
      </c>
      <c r="D27" s="28" t="s">
        <v>26</v>
      </c>
      <c r="E27" s="31">
        <v>1.2500000000000001E-2</v>
      </c>
      <c r="F27" s="25" t="s">
        <v>27</v>
      </c>
      <c r="G27" s="30" t="s">
        <v>860</v>
      </c>
      <c r="H27" s="30" t="s">
        <v>839</v>
      </c>
    </row>
    <row r="30" spans="1:8" x14ac:dyDescent="0.3">
      <c r="B30" s="1" t="s">
        <v>81</v>
      </c>
      <c r="C30" s="1" t="s">
        <v>82</v>
      </c>
      <c r="D30" s="1" t="s">
        <v>83</v>
      </c>
      <c r="H30" s="1" t="s">
        <v>84</v>
      </c>
    </row>
  </sheetData>
  <mergeCells count="5">
    <mergeCell ref="A1:B3"/>
    <mergeCell ref="C1:G3"/>
    <mergeCell ref="A4:B4"/>
    <mergeCell ref="C4:G5"/>
    <mergeCell ref="A5:B5"/>
  </mergeCells>
  <pageMargins left="0.7" right="0.7" top="0.75" bottom="0.75" header="0.3" footer="0.3"/>
  <pageSetup paperSize="9" orientation="portrait" verticalDpi="0" r:id="rId1"/>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A5A6F-B7E5-4849-B279-7B414EE2F289}">
  <sheetPr>
    <tabColor rgb="FFFFFF00"/>
  </sheetPr>
  <dimension ref="A1:H44"/>
  <sheetViews>
    <sheetView showGridLines="0" workbookViewId="0">
      <selection activeCell="E12" sqref="E12"/>
    </sheetView>
  </sheetViews>
  <sheetFormatPr baseColWidth="10" defaultColWidth="11.44140625" defaultRowHeight="14.4" x14ac:dyDescent="0.3"/>
  <cols>
    <col min="1" max="1" width="9.6640625" style="1" bestFit="1" customWidth="1"/>
    <col min="2" max="3" width="52.6640625" style="1" customWidth="1"/>
    <col min="4" max="4" width="11.5546875" style="1" bestFit="1" customWidth="1"/>
    <col min="5" max="5" width="9.88671875" style="6" bestFit="1" customWidth="1"/>
    <col min="6" max="6" width="13.6640625" style="1" customWidth="1"/>
    <col min="7" max="7" width="17.6640625" style="1" customWidth="1"/>
    <col min="8" max="8" width="44" style="1" customWidth="1"/>
  </cols>
  <sheetData>
    <row r="1" spans="1:8" ht="14.4" customHeight="1" x14ac:dyDescent="0.3">
      <c r="A1" s="95"/>
      <c r="B1" s="96"/>
      <c r="C1" s="101" t="s">
        <v>0</v>
      </c>
      <c r="D1" s="101"/>
      <c r="E1" s="101"/>
      <c r="F1" s="101"/>
      <c r="G1" s="101"/>
      <c r="H1" s="9" t="s">
        <v>1</v>
      </c>
    </row>
    <row r="2" spans="1:8" ht="14.4" customHeight="1" x14ac:dyDescent="0.3">
      <c r="A2" s="97"/>
      <c r="B2" s="98"/>
      <c r="C2" s="101"/>
      <c r="D2" s="101"/>
      <c r="E2" s="101"/>
      <c r="F2" s="101"/>
      <c r="G2" s="101"/>
      <c r="H2" s="9" t="s">
        <v>861</v>
      </c>
    </row>
    <row r="3" spans="1:8" ht="14.4" customHeight="1" x14ac:dyDescent="0.3">
      <c r="A3" s="99"/>
      <c r="B3" s="100"/>
      <c r="C3" s="101"/>
      <c r="D3" s="101"/>
      <c r="E3" s="101"/>
      <c r="F3" s="101"/>
      <c r="G3" s="101"/>
      <c r="H3" s="9" t="s">
        <v>3</v>
      </c>
    </row>
    <row r="4" spans="1:8" ht="14.4" customHeight="1" x14ac:dyDescent="0.3">
      <c r="A4" s="102" t="s">
        <v>4</v>
      </c>
      <c r="B4" s="102"/>
      <c r="C4" s="102" t="s">
        <v>5</v>
      </c>
      <c r="D4" s="102"/>
      <c r="E4" s="102"/>
      <c r="F4" s="102"/>
      <c r="G4" s="102"/>
      <c r="H4" s="9" t="s">
        <v>6</v>
      </c>
    </row>
    <row r="5" spans="1:8" ht="14.4" customHeight="1" x14ac:dyDescent="0.3">
      <c r="A5" s="102" t="s">
        <v>7</v>
      </c>
      <c r="B5" s="102"/>
      <c r="C5" s="102"/>
      <c r="D5" s="102"/>
      <c r="E5" s="102"/>
      <c r="F5" s="102"/>
      <c r="G5" s="102"/>
      <c r="H5" s="9" t="s">
        <v>8</v>
      </c>
    </row>
    <row r="7" spans="1:8" x14ac:dyDescent="0.3">
      <c r="A7" s="7" t="s">
        <v>9</v>
      </c>
      <c r="B7" s="10" t="s">
        <v>10</v>
      </c>
      <c r="C7" s="3"/>
      <c r="D7" s="3"/>
      <c r="E7" s="4"/>
      <c r="F7" s="3"/>
      <c r="G7" s="3"/>
      <c r="H7" s="3"/>
    </row>
    <row r="8" spans="1:8" x14ac:dyDescent="0.3">
      <c r="A8" s="7" t="s">
        <v>11</v>
      </c>
      <c r="B8" s="10" t="s">
        <v>862</v>
      </c>
      <c r="C8" s="3" t="s">
        <v>863</v>
      </c>
      <c r="D8" s="3"/>
      <c r="E8" s="4"/>
      <c r="F8" s="3"/>
      <c r="G8" s="3"/>
      <c r="H8" s="3"/>
    </row>
    <row r="9" spans="1:8" x14ac:dyDescent="0.3">
      <c r="A9" s="7" t="s">
        <v>14</v>
      </c>
      <c r="B9" s="10" t="s">
        <v>86</v>
      </c>
      <c r="C9" s="3"/>
      <c r="D9" s="3"/>
      <c r="E9" s="4"/>
      <c r="F9" s="3"/>
      <c r="G9" s="3"/>
      <c r="H9" s="3"/>
    </row>
    <row r="10" spans="1:8" ht="9.6" customHeight="1" x14ac:dyDescent="0.3">
      <c r="A10" s="3"/>
      <c r="B10" s="3"/>
      <c r="C10" s="3"/>
      <c r="D10" s="3"/>
      <c r="E10" s="4"/>
      <c r="F10" s="3"/>
      <c r="G10" s="3"/>
      <c r="H10" s="3"/>
    </row>
    <row r="11" spans="1:8" s="1" customFormat="1" ht="27.6" customHeight="1" x14ac:dyDescent="0.3">
      <c r="A11" s="7" t="s">
        <v>16</v>
      </c>
      <c r="B11" s="7" t="s">
        <v>17</v>
      </c>
      <c r="C11" s="7" t="s">
        <v>18</v>
      </c>
      <c r="D11" s="7" t="s">
        <v>19</v>
      </c>
      <c r="E11" s="8" t="s">
        <v>20</v>
      </c>
      <c r="F11" s="7" t="s">
        <v>21</v>
      </c>
      <c r="G11" s="7" t="s">
        <v>22</v>
      </c>
      <c r="H11" s="7" t="s">
        <v>23</v>
      </c>
    </row>
    <row r="12" spans="1:8" ht="72.75" customHeight="1" x14ac:dyDescent="0.3">
      <c r="A12" s="2">
        <v>1</v>
      </c>
      <c r="B12" s="12" t="s">
        <v>864</v>
      </c>
      <c r="C12" s="12" t="s">
        <v>865</v>
      </c>
      <c r="D12" s="2" t="s">
        <v>51</v>
      </c>
      <c r="E12" s="5">
        <v>0.2</v>
      </c>
      <c r="F12" s="12" t="s">
        <v>27</v>
      </c>
      <c r="G12" s="12" t="s">
        <v>28</v>
      </c>
      <c r="H12" s="2" t="s">
        <v>29</v>
      </c>
    </row>
    <row r="13" spans="1:8" ht="45" customHeight="1" x14ac:dyDescent="0.3">
      <c r="A13" s="2">
        <v>2</v>
      </c>
      <c r="B13" s="12" t="s">
        <v>866</v>
      </c>
      <c r="C13" s="12" t="s">
        <v>867</v>
      </c>
      <c r="D13" s="2" t="s">
        <v>51</v>
      </c>
      <c r="E13" s="5">
        <v>0.2</v>
      </c>
      <c r="F13" s="12" t="s">
        <v>27</v>
      </c>
      <c r="G13" s="12" t="s">
        <v>28</v>
      </c>
      <c r="H13" s="2" t="s">
        <v>29</v>
      </c>
    </row>
    <row r="14" spans="1:8" ht="68.25" customHeight="1" x14ac:dyDescent="0.3">
      <c r="A14" s="2">
        <v>3</v>
      </c>
      <c r="B14" s="12" t="s">
        <v>868</v>
      </c>
      <c r="C14" s="12" t="s">
        <v>869</v>
      </c>
      <c r="D14" s="2" t="s">
        <v>51</v>
      </c>
      <c r="E14" s="5">
        <v>0.2</v>
      </c>
      <c r="F14" s="12" t="s">
        <v>27</v>
      </c>
      <c r="G14" s="12" t="s">
        <v>28</v>
      </c>
      <c r="H14" s="2" t="s">
        <v>29</v>
      </c>
    </row>
    <row r="15" spans="1:8" ht="46.5" customHeight="1" x14ac:dyDescent="0.3">
      <c r="A15" s="2">
        <v>4</v>
      </c>
      <c r="B15" s="12" t="s">
        <v>870</v>
      </c>
      <c r="C15" s="12" t="s">
        <v>871</v>
      </c>
      <c r="D15" s="2" t="s">
        <v>51</v>
      </c>
      <c r="E15" s="5">
        <v>0.1</v>
      </c>
      <c r="F15" s="12" t="s">
        <v>27</v>
      </c>
      <c r="G15" s="12" t="s">
        <v>28</v>
      </c>
      <c r="H15" s="2" t="s">
        <v>29</v>
      </c>
    </row>
    <row r="16" spans="1:8" ht="46.5" customHeight="1" x14ac:dyDescent="0.3">
      <c r="A16" s="2">
        <v>5</v>
      </c>
      <c r="B16" s="12" t="s">
        <v>872</v>
      </c>
      <c r="C16" s="12" t="s">
        <v>873</v>
      </c>
      <c r="D16" s="2" t="s">
        <v>51</v>
      </c>
      <c r="E16" s="5">
        <v>0.05</v>
      </c>
      <c r="F16" s="12" t="s">
        <v>27</v>
      </c>
      <c r="G16" s="12" t="s">
        <v>28</v>
      </c>
      <c r="H16" s="2" t="s">
        <v>29</v>
      </c>
    </row>
    <row r="17" spans="1:8" ht="46.5" customHeight="1" x14ac:dyDescent="0.3">
      <c r="A17" s="2">
        <v>6</v>
      </c>
      <c r="B17" s="2" t="s">
        <v>874</v>
      </c>
      <c r="C17" s="12" t="s">
        <v>875</v>
      </c>
      <c r="D17" s="2" t="s">
        <v>51</v>
      </c>
      <c r="E17" s="5">
        <v>0.1</v>
      </c>
      <c r="F17" s="12" t="s">
        <v>27</v>
      </c>
      <c r="G17" s="12" t="s">
        <v>28</v>
      </c>
      <c r="H17" s="2" t="s">
        <v>29</v>
      </c>
    </row>
    <row r="18" spans="1:8" ht="47.25" customHeight="1" x14ac:dyDescent="0.3">
      <c r="A18" s="2">
        <v>7</v>
      </c>
      <c r="B18" s="2" t="s">
        <v>876</v>
      </c>
      <c r="C18" s="12" t="s">
        <v>877</v>
      </c>
      <c r="D18" s="2" t="s">
        <v>51</v>
      </c>
      <c r="E18" s="5">
        <v>0.1</v>
      </c>
      <c r="F18" s="12" t="s">
        <v>27</v>
      </c>
      <c r="G18" s="12" t="s">
        <v>28</v>
      </c>
      <c r="H18" s="2" t="s">
        <v>29</v>
      </c>
    </row>
    <row r="19" spans="1:8" ht="63.75" customHeight="1" x14ac:dyDescent="0.3">
      <c r="A19" s="2">
        <v>8</v>
      </c>
      <c r="B19" s="2" t="s">
        <v>878</v>
      </c>
      <c r="C19" s="12" t="s">
        <v>879</v>
      </c>
      <c r="D19" s="2" t="s">
        <v>51</v>
      </c>
      <c r="E19" s="5">
        <v>0.4</v>
      </c>
      <c r="F19" s="12" t="s">
        <v>880</v>
      </c>
      <c r="G19" s="12" t="s">
        <v>28</v>
      </c>
      <c r="H19" s="2" t="s">
        <v>881</v>
      </c>
    </row>
    <row r="20" spans="1:8" ht="68.25" customHeight="1" x14ac:dyDescent="0.3">
      <c r="A20" s="2">
        <v>9</v>
      </c>
      <c r="B20" s="2" t="s">
        <v>882</v>
      </c>
      <c r="C20" s="12" t="s">
        <v>883</v>
      </c>
      <c r="D20" s="2" t="s">
        <v>51</v>
      </c>
      <c r="E20" s="5">
        <v>0.1</v>
      </c>
      <c r="F20" s="12" t="s">
        <v>880</v>
      </c>
      <c r="G20" s="12" t="s">
        <v>28</v>
      </c>
      <c r="H20" s="2" t="s">
        <v>881</v>
      </c>
    </row>
    <row r="21" spans="1:8" ht="43.5" customHeight="1" x14ac:dyDescent="0.3">
      <c r="A21" s="2">
        <v>10</v>
      </c>
      <c r="B21" s="2" t="s">
        <v>884</v>
      </c>
      <c r="C21" s="12" t="s">
        <v>885</v>
      </c>
      <c r="D21" s="2" t="s">
        <v>51</v>
      </c>
      <c r="E21" s="5">
        <v>0.05</v>
      </c>
      <c r="F21" s="12" t="s">
        <v>886</v>
      </c>
      <c r="G21" s="12" t="s">
        <v>28</v>
      </c>
      <c r="H21" s="2" t="s">
        <v>881</v>
      </c>
    </row>
    <row r="22" spans="1:8" ht="45" customHeight="1" x14ac:dyDescent="0.3">
      <c r="A22" s="2">
        <v>11</v>
      </c>
      <c r="B22" s="2" t="s">
        <v>887</v>
      </c>
      <c r="C22" s="12" t="s">
        <v>888</v>
      </c>
      <c r="D22" s="2" t="s">
        <v>51</v>
      </c>
      <c r="E22" s="5">
        <v>0.1</v>
      </c>
      <c r="F22" s="12" t="s">
        <v>886</v>
      </c>
      <c r="G22" s="12" t="s">
        <v>889</v>
      </c>
      <c r="H22" s="2" t="s">
        <v>881</v>
      </c>
    </row>
    <row r="23" spans="1:8" ht="57" customHeight="1" x14ac:dyDescent="0.3">
      <c r="A23" s="2">
        <v>12</v>
      </c>
      <c r="B23" s="2" t="s">
        <v>890</v>
      </c>
      <c r="C23" s="12" t="s">
        <v>891</v>
      </c>
      <c r="D23" s="2" t="s">
        <v>51</v>
      </c>
      <c r="E23" s="5">
        <v>0.3</v>
      </c>
      <c r="F23" s="12" t="s">
        <v>886</v>
      </c>
      <c r="G23" s="12" t="s">
        <v>28</v>
      </c>
      <c r="H23" s="2" t="s">
        <v>881</v>
      </c>
    </row>
    <row r="24" spans="1:8" ht="41.25" customHeight="1" x14ac:dyDescent="0.3">
      <c r="A24" s="2">
        <v>13</v>
      </c>
      <c r="B24" s="2" t="s">
        <v>892</v>
      </c>
      <c r="C24" s="12" t="s">
        <v>893</v>
      </c>
      <c r="D24" s="2" t="s">
        <v>51</v>
      </c>
      <c r="E24" s="5">
        <v>0.03</v>
      </c>
      <c r="F24" s="12" t="s">
        <v>886</v>
      </c>
      <c r="G24" s="12" t="s">
        <v>894</v>
      </c>
      <c r="H24" s="2" t="s">
        <v>895</v>
      </c>
    </row>
    <row r="25" spans="1:8" ht="33.75" customHeight="1" x14ac:dyDescent="0.3">
      <c r="A25" s="2">
        <v>14</v>
      </c>
      <c r="B25" s="12" t="s">
        <v>896</v>
      </c>
      <c r="C25" s="12" t="s">
        <v>897</v>
      </c>
      <c r="D25" s="2" t="s">
        <v>26</v>
      </c>
      <c r="E25" s="5">
        <v>2.5000000000000001E-2</v>
      </c>
      <c r="F25" s="12" t="s">
        <v>898</v>
      </c>
      <c r="G25" s="12" t="s">
        <v>28</v>
      </c>
      <c r="H25" s="2" t="s">
        <v>881</v>
      </c>
    </row>
    <row r="26" spans="1:8" ht="33.75" customHeight="1" x14ac:dyDescent="0.3">
      <c r="A26" s="2">
        <v>15</v>
      </c>
      <c r="B26" s="12" t="s">
        <v>899</v>
      </c>
      <c r="C26" s="12" t="s">
        <v>900</v>
      </c>
      <c r="D26" s="2" t="s">
        <v>26</v>
      </c>
      <c r="E26" s="5">
        <v>0.09</v>
      </c>
      <c r="F26" s="12" t="s">
        <v>898</v>
      </c>
      <c r="G26" s="12" t="s">
        <v>28</v>
      </c>
      <c r="H26" s="2" t="s">
        <v>881</v>
      </c>
    </row>
    <row r="27" spans="1:8" ht="27.6" customHeight="1" x14ac:dyDescent="0.3">
      <c r="A27" s="2"/>
      <c r="B27" s="2"/>
      <c r="C27" s="12"/>
      <c r="D27" s="2"/>
      <c r="E27" s="5"/>
      <c r="F27" s="2"/>
      <c r="G27" s="2"/>
      <c r="H27" s="2"/>
    </row>
    <row r="28" spans="1:8" ht="27.6" customHeight="1" x14ac:dyDescent="0.3">
      <c r="A28" s="2"/>
      <c r="B28" s="2"/>
      <c r="C28" s="2"/>
      <c r="D28" s="2"/>
      <c r="E28" s="5"/>
      <c r="F28" s="2"/>
      <c r="G28" s="2"/>
      <c r="H28" s="2"/>
    </row>
    <row r="29" spans="1:8" ht="27.6" customHeight="1" x14ac:dyDescent="0.3">
      <c r="A29" s="2"/>
      <c r="B29" s="2"/>
      <c r="C29" s="2"/>
      <c r="D29" s="2"/>
      <c r="E29" s="5"/>
      <c r="F29" s="2"/>
      <c r="G29" s="2"/>
      <c r="H29" s="2"/>
    </row>
    <row r="30" spans="1:8" ht="27.6" customHeight="1" x14ac:dyDescent="0.3">
      <c r="A30" s="2"/>
      <c r="B30" s="2"/>
      <c r="C30" s="2"/>
      <c r="D30" s="2"/>
      <c r="E30" s="5"/>
      <c r="F30" s="2"/>
      <c r="G30" s="2"/>
      <c r="H30" s="2"/>
    </row>
    <row r="31" spans="1:8" ht="27.6" customHeight="1" x14ac:dyDescent="0.3">
      <c r="A31" s="2"/>
      <c r="B31" s="2"/>
      <c r="C31" s="2"/>
      <c r="D31" s="2"/>
      <c r="E31" s="5"/>
      <c r="F31" s="2"/>
      <c r="G31" s="2"/>
      <c r="H31" s="2"/>
    </row>
    <row r="32" spans="1:8" ht="27.6" customHeight="1" x14ac:dyDescent="0.3">
      <c r="A32" s="2"/>
      <c r="B32" s="2"/>
      <c r="C32" s="2"/>
      <c r="D32" s="2"/>
      <c r="E32" s="5"/>
      <c r="F32" s="2"/>
      <c r="G32" s="2"/>
      <c r="H32" s="2"/>
    </row>
    <row r="33" spans="1:8" ht="27.6" customHeight="1" x14ac:dyDescent="0.3">
      <c r="A33" s="2"/>
      <c r="B33" s="2"/>
      <c r="C33" s="2"/>
      <c r="D33" s="2"/>
      <c r="E33" s="5"/>
      <c r="F33" s="2"/>
      <c r="G33" s="2"/>
      <c r="H33" s="2"/>
    </row>
    <row r="34" spans="1:8" ht="27.6" customHeight="1" x14ac:dyDescent="0.3">
      <c r="A34" s="2"/>
      <c r="B34" s="2"/>
      <c r="C34" s="2"/>
      <c r="D34" s="2"/>
      <c r="E34" s="5"/>
      <c r="F34" s="2"/>
      <c r="G34" s="2"/>
      <c r="H34" s="2"/>
    </row>
    <row r="35" spans="1:8" ht="27.6" customHeight="1" x14ac:dyDescent="0.3">
      <c r="A35" s="2"/>
      <c r="B35" s="2"/>
      <c r="C35" s="2"/>
      <c r="D35" s="2"/>
      <c r="E35" s="5"/>
      <c r="F35" s="2"/>
      <c r="G35" s="2"/>
      <c r="H35" s="2"/>
    </row>
    <row r="36" spans="1:8" ht="27.6" customHeight="1" x14ac:dyDescent="0.3">
      <c r="A36" s="2"/>
      <c r="B36" s="2"/>
      <c r="C36" s="2"/>
      <c r="D36" s="2"/>
      <c r="E36" s="5"/>
      <c r="F36" s="2"/>
      <c r="G36" s="2"/>
      <c r="H36" s="2"/>
    </row>
    <row r="37" spans="1:8" ht="27.6" customHeight="1" x14ac:dyDescent="0.3">
      <c r="A37" s="2"/>
      <c r="B37" s="2"/>
      <c r="C37" s="2"/>
      <c r="D37" s="2"/>
      <c r="E37" s="5"/>
      <c r="F37" s="2"/>
      <c r="G37" s="2"/>
      <c r="H37" s="2"/>
    </row>
    <row r="38" spans="1:8" ht="27.6" customHeight="1" x14ac:dyDescent="0.3">
      <c r="A38" s="2"/>
      <c r="B38" s="2"/>
      <c r="C38" s="2"/>
      <c r="D38" s="2"/>
      <c r="E38" s="5"/>
      <c r="F38" s="2"/>
      <c r="G38" s="2"/>
      <c r="H38" s="2"/>
    </row>
    <row r="39" spans="1:8" ht="27.6" customHeight="1" x14ac:dyDescent="0.3">
      <c r="A39" s="2"/>
      <c r="B39" s="2"/>
      <c r="C39" s="2"/>
      <c r="D39" s="2"/>
      <c r="E39" s="5"/>
      <c r="F39" s="2"/>
      <c r="G39" s="2"/>
      <c r="H39" s="2"/>
    </row>
    <row r="44" spans="1:8" x14ac:dyDescent="0.3">
      <c r="B44" s="1" t="s">
        <v>81</v>
      </c>
      <c r="C44" s="1" t="s">
        <v>82</v>
      </c>
      <c r="D44" s="1" t="s">
        <v>83</v>
      </c>
      <c r="H44" s="1" t="s">
        <v>84</v>
      </c>
    </row>
  </sheetData>
  <mergeCells count="5">
    <mergeCell ref="A1:B3"/>
    <mergeCell ref="C1:G3"/>
    <mergeCell ref="A4:B4"/>
    <mergeCell ref="C4:G5"/>
    <mergeCell ref="A5:B5"/>
  </mergeCells>
  <pageMargins left="0.7" right="0.7" top="0.75" bottom="0.75" header="0.3" footer="0.3"/>
  <pageSetup paperSize="9" orientation="portrait" verticalDpi="0"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0DF7C2E5-130F-4EA7-9802-82E2C6080AB1}">
          <x14:formula1>
            <xm:f>Hoja1!$B$1:$B$14</xm:f>
          </x14:formula1>
          <xm:sqref>F12:F39</xm:sqref>
        </x14:dataValidation>
        <x14:dataValidation type="list" allowBlank="1" showInputMessage="1" showErrorMessage="1" xr:uid="{45927D70-6255-41D7-A1E6-3F2E8D84A5AD}">
          <x14:formula1>
            <xm:f>Hoja1!$A$1:$A$8</xm:f>
          </x14:formula1>
          <xm:sqref>D12:D39</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D1854-6C98-419A-9684-3D9F763F883F}">
  <dimension ref="A1"/>
  <sheetViews>
    <sheetView workbookViewId="0"/>
  </sheetViews>
  <sheetFormatPr baseColWidth="10" defaultColWidth="11.44140625" defaultRowHeight="14.4" x14ac:dyDescent="0.3"/>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DAF28-DCD3-4A86-8F2D-8D4D218D738F}">
  <dimension ref="A1:B14"/>
  <sheetViews>
    <sheetView workbookViewId="0">
      <selection activeCell="A23" sqref="A23"/>
    </sheetView>
  </sheetViews>
  <sheetFormatPr baseColWidth="10" defaultColWidth="11.44140625" defaultRowHeight="14.4" x14ac:dyDescent="0.3"/>
  <cols>
    <col min="2" max="2" width="14.5546875" bestFit="1" customWidth="1"/>
  </cols>
  <sheetData>
    <row r="1" spans="1:2" x14ac:dyDescent="0.3">
      <c r="A1" t="s">
        <v>89</v>
      </c>
      <c r="B1" t="s">
        <v>901</v>
      </c>
    </row>
    <row r="2" spans="1:2" x14ac:dyDescent="0.3">
      <c r="A2" t="s">
        <v>51</v>
      </c>
      <c r="B2" t="s">
        <v>898</v>
      </c>
    </row>
    <row r="3" spans="1:2" x14ac:dyDescent="0.3">
      <c r="A3" t="s">
        <v>172</v>
      </c>
      <c r="B3" t="s">
        <v>902</v>
      </c>
    </row>
    <row r="4" spans="1:2" x14ac:dyDescent="0.3">
      <c r="A4" t="s">
        <v>26</v>
      </c>
      <c r="B4" t="s">
        <v>27</v>
      </c>
    </row>
    <row r="5" spans="1:2" x14ac:dyDescent="0.3">
      <c r="A5" t="s">
        <v>40</v>
      </c>
      <c r="B5" t="s">
        <v>903</v>
      </c>
    </row>
    <row r="6" spans="1:2" x14ac:dyDescent="0.3">
      <c r="A6" t="s">
        <v>49</v>
      </c>
      <c r="B6" t="s">
        <v>904</v>
      </c>
    </row>
    <row r="7" spans="1:2" x14ac:dyDescent="0.3">
      <c r="A7" t="s">
        <v>561</v>
      </c>
      <c r="B7" t="s">
        <v>880</v>
      </c>
    </row>
    <row r="8" spans="1:2" x14ac:dyDescent="0.3">
      <c r="A8" t="s">
        <v>136</v>
      </c>
      <c r="B8" t="s">
        <v>905</v>
      </c>
    </row>
    <row r="9" spans="1:2" x14ac:dyDescent="0.3">
      <c r="B9" t="s">
        <v>906</v>
      </c>
    </row>
    <row r="10" spans="1:2" x14ac:dyDescent="0.3">
      <c r="B10" t="s">
        <v>907</v>
      </c>
    </row>
    <row r="11" spans="1:2" x14ac:dyDescent="0.3">
      <c r="B11" t="s">
        <v>886</v>
      </c>
    </row>
    <row r="12" spans="1:2" x14ac:dyDescent="0.3">
      <c r="B12" t="s">
        <v>908</v>
      </c>
    </row>
    <row r="13" spans="1:2" x14ac:dyDescent="0.3">
      <c r="B13" t="s">
        <v>909</v>
      </c>
    </row>
    <row r="14" spans="1:2" x14ac:dyDescent="0.3">
      <c r="B14" t="s">
        <v>910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52940C83F49F74C86A5064E9C67BCC6" ma:contentTypeVersion="15" ma:contentTypeDescription="Crear nuevo documento." ma:contentTypeScope="" ma:versionID="13f3c24145856c1791ef2f667525d1ec">
  <xsd:schema xmlns:xsd="http://www.w3.org/2001/XMLSchema" xmlns:xs="http://www.w3.org/2001/XMLSchema" xmlns:p="http://schemas.microsoft.com/office/2006/metadata/properties" xmlns:ns2="d7cc9838-674c-409c-a8de-abf108bf37df" xmlns:ns3="56d59986-b1a9-409a-867d-286ffcf75860" targetNamespace="http://schemas.microsoft.com/office/2006/metadata/properties" ma:root="true" ma:fieldsID="68cf5696be1a9639e2afa9bfd8962112" ns2:_="" ns3:_="">
    <xsd:import namespace="d7cc9838-674c-409c-a8de-abf108bf37df"/>
    <xsd:import namespace="56d59986-b1a9-409a-867d-286ffcf75860"/>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cc9838-674c-409c-a8de-abf108bf37df"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Etiquetas de imagen" ma:readOnly="false" ma:fieldId="{5cf76f15-5ced-4ddc-b409-7134ff3c332f}" ma:taxonomyMulti="true" ma:sspId="a8df10bf-1d5b-41b5-bdf3-459793abc5a2"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6d59986-b1a9-409a-867d-286ffcf75860"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a3737df0-2e23-4ed6-97db-c536e1fa40e1}" ma:internalName="TaxCatchAll" ma:showField="CatchAllData" ma:web="56d59986-b1a9-409a-867d-286ffcf75860">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121FC72-C134-40EC-B498-96E7AC6A9D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cc9838-674c-409c-a8de-abf108bf37df"/>
    <ds:schemaRef ds:uri="56d59986-b1a9-409a-867d-286ffcf758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5880E46-94C5-493B-AA8C-565BDBE16B6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16</vt:i4>
      </vt:variant>
    </vt:vector>
  </HeadingPairs>
  <TitlesOfParts>
    <vt:vector size="16" baseType="lpstr">
      <vt:lpstr>CARGO 1</vt:lpstr>
      <vt:lpstr>Cesar Guato</vt:lpstr>
      <vt:lpstr>Shirley Lucín</vt:lpstr>
      <vt:lpstr>Geraldine Naula</vt:lpstr>
      <vt:lpstr>Andrea Bowen</vt:lpstr>
      <vt:lpstr>Marly Villamar</vt:lpstr>
      <vt:lpstr>Heidy Alvarado</vt:lpstr>
      <vt:lpstr>Gissela Villegas</vt:lpstr>
      <vt:lpstr>Andrea Miño</vt:lpstr>
      <vt:lpstr>Gabriel Jurado</vt:lpstr>
      <vt:lpstr>CARGO 11</vt:lpstr>
      <vt:lpstr>Melanie Miranda</vt:lpstr>
      <vt:lpstr>Melanie Villa</vt:lpstr>
      <vt:lpstr>CARGO 14</vt:lpstr>
      <vt:lpstr>Hoja3</vt: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Génesis Daza</dc:creator>
  <cp:keywords/>
  <dc:description/>
  <cp:lastModifiedBy>Jonathan Medina Montesdeoca</cp:lastModifiedBy>
  <cp:revision/>
  <dcterms:created xsi:type="dcterms:W3CDTF">2023-05-23T03:38:29Z</dcterms:created>
  <dcterms:modified xsi:type="dcterms:W3CDTF">2025-12-07T23:28:46Z</dcterms:modified>
  <cp:category/>
  <cp:contentStatus/>
</cp:coreProperties>
</file>